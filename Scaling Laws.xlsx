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kenziemorehead/Documents/"/>
    </mc:Choice>
  </mc:AlternateContent>
  <xr:revisionPtr revIDLastSave="0" documentId="13_ncr:1_{4F75ABEA-0AF2-3D49-91E0-60FBC38A0533}" xr6:coauthVersionLast="47" xr6:coauthVersionMax="47" xr10:uidLastSave="{00000000-0000-0000-0000-000000000000}"/>
  <bookViews>
    <workbookView xWindow="33180" yWindow="960" windowWidth="25180" windowHeight="19740" xr2:uid="{020CEFC4-4032-1647-827D-A143E2B84BA1}"/>
  </bookViews>
  <sheets>
    <sheet name="Scaling Laws" sheetId="1" r:id="rId1"/>
    <sheet name="Tokens to Param" sheetId="2" r:id="rId2"/>
    <sheet name="Table" sheetId="3" r:id="rId3"/>
  </sheets>
  <definedNames>
    <definedName name="_xlchart.v1.0" hidden="1">'Scaling Laws'!$F$91:$F$125</definedName>
    <definedName name="_xlchart.v1.1" hidden="1">'Scaling Laws'!$F$92:$F$135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H84" i="1"/>
  <c r="F84" i="1"/>
  <c r="G51" i="1"/>
  <c r="F39" i="1"/>
  <c r="G39" i="1"/>
  <c r="H39" i="1"/>
  <c r="F36" i="1"/>
  <c r="L8" i="2"/>
  <c r="H61" i="1"/>
  <c r="G61" i="1"/>
  <c r="F61" i="1"/>
  <c r="B44" i="2"/>
  <c r="B43" i="2"/>
  <c r="B42" i="2"/>
  <c r="B41" i="2"/>
  <c r="B40" i="2"/>
  <c r="B39" i="2"/>
  <c r="B37" i="2"/>
  <c r="B38" i="2"/>
  <c r="C40" i="2"/>
  <c r="Z22" i="2"/>
  <c r="C43" i="2"/>
  <c r="C44" i="2"/>
  <c r="C39" i="2"/>
  <c r="U61" i="2"/>
  <c r="V61" i="2" s="1"/>
  <c r="U60" i="2"/>
  <c r="V60" i="2" s="1"/>
  <c r="U58" i="2"/>
  <c r="V58" i="2" s="1"/>
  <c r="U54" i="2"/>
  <c r="V54" i="2" s="1"/>
  <c r="U50" i="2"/>
  <c r="V50" i="2" s="1"/>
  <c r="U48" i="2"/>
  <c r="V48" i="2" s="1"/>
  <c r="U47" i="2"/>
  <c r="V47" i="2" s="1"/>
  <c r="U46" i="2"/>
  <c r="V46" i="2" s="1"/>
  <c r="V70" i="2" s="1"/>
  <c r="J33" i="2"/>
  <c r="J28" i="2"/>
  <c r="P89" i="2"/>
  <c r="P88" i="2"/>
  <c r="P87" i="2"/>
  <c r="P86" i="2"/>
  <c r="P85" i="2"/>
  <c r="P84" i="2"/>
  <c r="Z21" i="2"/>
  <c r="Z20" i="2"/>
  <c r="Z19" i="2"/>
  <c r="Z18" i="2"/>
  <c r="AC4" i="2"/>
  <c r="AC5" i="2"/>
  <c r="AC6" i="2"/>
  <c r="AC7" i="2"/>
  <c r="AC8" i="2"/>
  <c r="AC9" i="2"/>
  <c r="AC10" i="2"/>
  <c r="AC11" i="2"/>
  <c r="AC12" i="2"/>
  <c r="AC3" i="2"/>
  <c r="C37" i="2"/>
  <c r="D21" i="2"/>
  <c r="E21" i="2"/>
  <c r="P80" i="2"/>
  <c r="P79" i="2"/>
  <c r="P78" i="2"/>
  <c r="L4" i="2"/>
  <c r="C38" i="2" s="1"/>
  <c r="L5" i="2"/>
  <c r="L6" i="2"/>
  <c r="L7" i="2"/>
  <c r="L9" i="2"/>
  <c r="L10" i="2"/>
  <c r="L11" i="2"/>
  <c r="L12" i="2"/>
  <c r="L13" i="2"/>
  <c r="L3" i="2"/>
  <c r="D12" i="2"/>
  <c r="J88" i="1"/>
  <c r="I88" i="1"/>
  <c r="J87" i="1"/>
  <c r="I87" i="1"/>
  <c r="G87" i="1"/>
  <c r="F87" i="1"/>
  <c r="F88" i="1"/>
  <c r="G88" i="1"/>
  <c r="F64" i="1"/>
  <c r="G64" i="1"/>
  <c r="H64" i="1"/>
  <c r="F31" i="1"/>
  <c r="G31" i="1"/>
  <c r="H31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J77" i="1"/>
  <c r="H77" i="1"/>
  <c r="G77" i="1"/>
  <c r="F77" i="1"/>
  <c r="J76" i="1"/>
  <c r="H76" i="1"/>
  <c r="G76" i="1"/>
  <c r="F76" i="1"/>
  <c r="J75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F69" i="1"/>
  <c r="H68" i="1"/>
  <c r="F68" i="1"/>
  <c r="H67" i="1"/>
  <c r="G67" i="1"/>
  <c r="F67" i="1"/>
  <c r="F66" i="1"/>
  <c r="F65" i="1"/>
  <c r="H63" i="1"/>
  <c r="G63" i="1"/>
  <c r="F63" i="1"/>
  <c r="H62" i="1"/>
  <c r="G62" i="1"/>
  <c r="F62" i="1"/>
  <c r="H60" i="1"/>
  <c r="G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G53" i="1"/>
  <c r="F53" i="1"/>
  <c r="H52" i="1"/>
  <c r="G52" i="1"/>
  <c r="F52" i="1"/>
  <c r="H51" i="1"/>
  <c r="F51" i="1"/>
  <c r="H50" i="1"/>
  <c r="G50" i="1"/>
  <c r="F50" i="1"/>
  <c r="H49" i="1"/>
  <c r="G49" i="1"/>
  <c r="F49" i="1"/>
  <c r="H48" i="1"/>
  <c r="G48" i="1"/>
  <c r="F48" i="1"/>
  <c r="H47" i="1"/>
  <c r="G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7" i="1"/>
  <c r="G37" i="1"/>
  <c r="F37" i="1"/>
  <c r="H38" i="1"/>
  <c r="G38" i="1"/>
  <c r="F38" i="1"/>
  <c r="H35" i="1"/>
  <c r="G35" i="1"/>
  <c r="F35" i="1"/>
  <c r="H34" i="1"/>
  <c r="G34" i="1"/>
  <c r="F34" i="1"/>
  <c r="H33" i="1"/>
  <c r="G33" i="1"/>
  <c r="F33" i="1"/>
  <c r="H32" i="1"/>
  <c r="G32" i="1"/>
  <c r="F32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G3" i="3" l="1"/>
  <c r="G8" i="3"/>
  <c r="G4" i="3"/>
  <c r="G6" i="3"/>
  <c r="G2" i="3"/>
  <c r="G9" i="3"/>
  <c r="P90" i="2"/>
  <c r="AC13" i="2"/>
  <c r="C42" i="2" s="1"/>
  <c r="L14" i="2"/>
  <c r="C41" i="2" s="1"/>
</calcChain>
</file>

<file path=xl/sharedStrings.xml><?xml version="1.0" encoding="utf-8"?>
<sst xmlns="http://schemas.openxmlformats.org/spreadsheetml/2006/main" count="1446" uniqueCount="907">
  <si>
    <t>Nopt</t>
  </si>
  <si>
    <t>Dopt</t>
  </si>
  <si>
    <t>Behavior Cloning -- Token 540</t>
  </si>
  <si>
    <t>Behavior Cloning -- CNN</t>
  </si>
  <si>
    <t>World Model -- Token 256</t>
  </si>
  <si>
    <t>World Model -- Token 540</t>
  </si>
  <si>
    <t>Source</t>
  </si>
  <si>
    <t xml:space="preserve">https://arxiv.org/pdf/2411.04434 </t>
  </si>
  <si>
    <t xml:space="preserve">LLM -- Kaplan (2020) </t>
  </si>
  <si>
    <t>LLM -- Chinchilla</t>
  </si>
  <si>
    <t>Image</t>
  </si>
  <si>
    <t>Video</t>
  </si>
  <si>
    <t>RL Agent</t>
  </si>
  <si>
    <t>8x8</t>
  </si>
  <si>
    <t>16x16</t>
  </si>
  <si>
    <t>32x32</t>
  </si>
  <si>
    <t xml:space="preserve">​​https://arxiv.org/pdf/2010.14701 </t>
  </si>
  <si>
    <t>Text-to-Im</t>
  </si>
  <si>
    <t>Im-to-Text</t>
  </si>
  <si>
    <t>Language</t>
  </si>
  <si>
    <t>Math</t>
  </si>
  <si>
    <t xml:space="preserve">Extrapolate </t>
  </si>
  <si>
    <t xml:space="preserve">https://arxiv.org/pdf/2203.15556 </t>
  </si>
  <si>
    <t>https://arxiv.org/abs/2001.08361</t>
  </si>
  <si>
    <t>Model (year)</t>
  </si>
  <si>
    <t>Params</t>
  </si>
  <si>
    <t>Pretrain tokens</t>
  </si>
  <si>
    <t>Tokens / param</t>
  </si>
  <si>
    <t>LLaMA 65B (2023) (ar5iv)</t>
  </si>
  <si>
    <t>65B</t>
  </si>
  <si>
    <t>1.4T</t>
  </si>
  <si>
    <t>Llama 2 70B (2023) (Hugging Face)</t>
  </si>
  <si>
    <t>70B</t>
  </si>
  <si>
    <t>2.0T</t>
  </si>
  <si>
    <t>Falcon 180B (2023) (arXiv)</t>
  </si>
  <si>
    <t>180B</t>
  </si>
  <si>
    <t>&gt;3.5T</t>
  </si>
  <si>
    <t>Qwen 72B (2023) (GitHub)</t>
  </si>
  <si>
    <t>72B</t>
  </si>
  <si>
    <t>3.0T</t>
  </si>
  <si>
    <t>Qwen2 72B (2024) (arXiv)</t>
  </si>
  <si>
    <t>7.0T</t>
  </si>
  <si>
    <t>Llama 3 70B (2024) (Hugging Face)</t>
  </si>
  <si>
    <t>15T</t>
  </si>
  <si>
    <t>Llama 3.1 405B (2024) (AI Meta)</t>
  </si>
  <si>
    <t>405B</t>
  </si>
  <si>
    <t>Nemotron-4 340B (2024) (arXiv)</t>
  </si>
  <si>
    <t>340B</t>
  </si>
  <si>
    <t>9T</t>
  </si>
  <si>
    <t>Qwen2.5 72B (2024) (AlibabaCloud)</t>
  </si>
  <si>
    <t>Qwen3 up to 235B (2025) (arXiv)</t>
  </si>
  <si>
    <t>36T</t>
  </si>
  <si>
    <t>Params (total / active)</t>
  </si>
  <si>
    <t>Tokens / total param</t>
  </si>
  <si>
    <t>Tokens / active param</t>
  </si>
  <si>
    <t>DBRX (2024) (Databricks)</t>
  </si>
  <si>
    <t>132B / 36B</t>
  </si>
  <si>
    <t>12T</t>
  </si>
  <si>
    <t>DeepSeek-V2 (2024) (arXiv)</t>
  </si>
  <si>
    <t>236B / 21B</t>
  </si>
  <si>
    <t>8.1T</t>
  </si>
  <si>
    <t>DeepSeek-V3 (2024) (arXiv)</t>
  </si>
  <si>
    <t>671B / 37B</t>
  </si>
  <si>
    <t>14.8T</t>
  </si>
  <si>
    <t>Kimi K2 (2025) (Medium)</t>
  </si>
  <si>
    <t>1T / 32B</t>
  </si>
  <si>
    <t>15.5T</t>
  </si>
  <si>
    <t>MoEs</t>
  </si>
  <si>
    <t>Dense Models</t>
  </si>
  <si>
    <t>Optimal params</t>
  </si>
  <si>
    <t>Training FLOPs</t>
  </si>
  <si>
    <t>FLOPs (Gopher units)</t>
  </si>
  <si>
    <t>Optimal tokens</t>
  </si>
  <si>
    <t>Tokens / parameter</t>
  </si>
  <si>
    <t>400M</t>
  </si>
  <si>
    <t>1.92×10¹⁹</t>
  </si>
  <si>
    <t>1/29,968</t>
  </si>
  <si>
    <t>8.0B</t>
  </si>
  <si>
    <t>1B</t>
  </si>
  <si>
    <t>1.21×10²⁰</t>
  </si>
  <si>
    <t>1/4,761</t>
  </si>
  <si>
    <t>20.2B</t>
  </si>
  <si>
    <t>10B</t>
  </si>
  <si>
    <t>1.23×10²²</t>
  </si>
  <si>
    <t>205.1B</t>
  </si>
  <si>
    <t>67B</t>
  </si>
  <si>
    <t>5.76×10²³</t>
  </si>
  <si>
    <t>1.5T</t>
  </si>
  <si>
    <t>175B</t>
  </si>
  <si>
    <t>3.85×10²⁴</t>
  </si>
  <si>
    <t>3.7T</t>
  </si>
  <si>
    <t>280B</t>
  </si>
  <si>
    <t>9.90×10²⁴</t>
  </si>
  <si>
    <t>5.9T</t>
  </si>
  <si>
    <t>520B</t>
  </si>
  <si>
    <t>3.43×10²⁵</t>
  </si>
  <si>
    <t>11.0T</t>
  </si>
  <si>
    <t>1T</t>
  </si>
  <si>
    <t>1.27×10²⁶</t>
  </si>
  <si>
    <t>21.2T</t>
  </si>
  <si>
    <t>10T</t>
  </si>
  <si>
    <t>1.30×10²⁸</t>
  </si>
  <si>
    <t>216.2T</t>
  </si>
  <si>
    <t>Video VQ 16x16</t>
  </si>
  <si>
    <t>18T</t>
  </si>
  <si>
    <t>235B / 22B</t>
  </si>
  <si>
    <t>Autoregressive Visual Modeling</t>
  </si>
  <si>
    <t>https://arxiv.org/pdf/2404.02905</t>
  </si>
  <si>
    <t>Single-agent  (Procgen Avg)</t>
  </si>
  <si>
    <t>Single-agent (MNIST Avg)</t>
  </si>
  <si>
    <t xml:space="preserve">https://arxiv.org/pdf/2210.00849 </t>
  </si>
  <si>
    <t>Multi-agent (Connect Four &amp; Pentago)</t>
  </si>
  <si>
    <t>World Model</t>
  </si>
  <si>
    <t>Robotics</t>
  </si>
  <si>
    <t>Bio -- pLMs</t>
  </si>
  <si>
    <t>Observed</t>
  </si>
  <si>
    <t>L(C)</t>
  </si>
  <si>
    <t>L(N)</t>
  </si>
  <si>
    <t>alpha D</t>
  </si>
  <si>
    <t>alpha N</t>
  </si>
  <si>
    <t>Nc</t>
  </si>
  <si>
    <t>Dc</t>
  </si>
  <si>
    <t>4.85×10^79</t>
  </si>
  <si>
    <t>−1.33×10^69</t>
  </si>
  <si>
    <t>RITA</t>
  </si>
  <si>
    <t>xTrimoPGLM w MLM</t>
  </si>
  <si>
    <t>xTrimoPGLM w CLM</t>
  </si>
  <si>
    <t xml:space="preserve">Loss Function </t>
  </si>
  <si>
    <t>Other Hyperparameters</t>
  </si>
  <si>
    <t>L(D)</t>
  </si>
  <si>
    <t>Meta study</t>
  </si>
  <si>
    <t xml:space="preserve">https://arxiv.org/html/2405.14005v2 </t>
  </si>
  <si>
    <t>Autonomous Vehicles</t>
  </si>
  <si>
    <t>Waymo</t>
  </si>
  <si>
    <t>Generalist Gen-0 Clothes Handling Task</t>
  </si>
  <si>
    <t xml:space="preserve">https://www.nature.com/articles/s41592-025-02636-z </t>
  </si>
  <si>
    <t>Next Action Prediction</t>
  </si>
  <si>
    <t xml:space="preserve">https://arxiv.org/pdf/2301.13442 </t>
  </si>
  <si>
    <t xml:space="preserve">https://generalistai.com/blog/nov-04-2025-GEN-0 </t>
  </si>
  <si>
    <t>https://arxiv.org/pdf/2506.08228</t>
  </si>
  <si>
    <t>Bio -- seq to structure</t>
  </si>
  <si>
    <t>ESMFold</t>
  </si>
  <si>
    <t xml:space="preserve">https://wayve.ai/thinking/gaia-3/ </t>
  </si>
  <si>
    <t xml:space="preserve">Molina et al </t>
  </si>
  <si>
    <t>https://arxiv.org/html/2406.07249</t>
  </si>
  <si>
    <t>Bio -- Genomics</t>
  </si>
  <si>
    <t>Evo</t>
  </si>
  <si>
    <t>https://www.science.org/doi/10.1126/science.ado9336</t>
  </si>
  <si>
    <t>https://www.nature.com/articles/s42256-023-00740-3</t>
  </si>
  <si>
    <t>Chemistry</t>
  </si>
  <si>
    <t>ProGen2</t>
  </si>
  <si>
    <t>https://arxiv.org/abs/2206.13517</t>
  </si>
  <si>
    <t>Generalist Gen-0 (*Estimated)</t>
  </si>
  <si>
    <t>-0.219*</t>
  </si>
  <si>
    <t>-0.055*</t>
  </si>
  <si>
    <t>Bio -- scPerturbation</t>
  </si>
  <si>
    <t>Tahoe-x1</t>
  </si>
  <si>
    <t xml:space="preserve">https://www.biorxiv.org/content/10.1101/2025.10.23.683759v1.full.pdf </t>
  </si>
  <si>
    <t xml:space="preserve">https://www.biorxiv.org/content/10.1101/2022.07.20.500902v1.full-text </t>
  </si>
  <si>
    <t>-0.026*</t>
  </si>
  <si>
    <t>-0.014*</t>
  </si>
  <si>
    <t>Code</t>
  </si>
  <si>
    <t xml:space="preserve">Codex (GPT-3 era) </t>
  </si>
  <si>
    <t>https://arxiv.org/pdf/2107.03374</t>
  </si>
  <si>
    <t>https://arxiv.org/abs/2411.17470</t>
  </si>
  <si>
    <t>Diffusion Transformers</t>
  </si>
  <si>
    <t>DeepSeek</t>
  </si>
  <si>
    <t>https://arxiv.org/pdf/2401.02954</t>
  </si>
  <si>
    <t>Min Model Size</t>
  </si>
  <si>
    <t>Max Model Size</t>
  </si>
  <si>
    <t>10^5</t>
  </si>
  <si>
    <t>10^9</t>
  </si>
  <si>
    <t>SC Loss Drop per 10x FLOPs</t>
  </si>
  <si>
    <t>SC FLOP range</t>
  </si>
  <si>
    <t>SC Loss range</t>
  </si>
  <si>
    <t>SC Power Law Exponent</t>
  </si>
  <si>
    <t>SC Application</t>
  </si>
  <si>
    <t>Paper scaling-law form (as stated)</t>
  </si>
  <si>
    <t>10%</t>
  </si>
  <si>
    <t>10^13–10^18</t>
  </si>
  <si>
    <t>3.0–6.0 (test)</t>
  </si>
  <si>
    <t>-0.05</t>
  </si>
  <si>
    <t>Text prediction</t>
  </si>
  <si>
    <t>Kaplan et al. (2020): test cross-entropy fit with an irreducible term, e.g. L(N,D)=L∞+(Nc/N)^αN+(Dc/D)^αD; compute-only fits use a similar power law in C with +L∞.</t>
  </si>
  <si>
    <t>8%–14%</t>
  </si>
  <si>
    <t>10^17–10^22</t>
  </si>
  <si>
    <t>2.0–4.0 (training)</t>
  </si>
  <si>
    <t>Hoffmann et al. (2022, Chinchilla): compute-optimal scaling N_opt∝C^0.49 and D_opt∝C^0.51; paper discusses a curved FLOP–loss frontier rather than a single fixed compute exponent across all scales.</t>
  </si>
  <si>
    <t>6%–11%</t>
  </si>
  <si>
    <t>10^14–10^20</t>
  </si>
  <si>
    <t>2–3 (test)</t>
  </si>
  <si>
    <t>-0.16</t>
  </si>
  <si>
    <t>Text-to-image</t>
  </si>
  <si>
    <t>Henighan et al. (2020): modality-specific loss fits follow a power law in compute (often with an irreducible loss term), i.e. L(C)=L∞+k·C^αC; here αC≈-0.16.</t>
  </si>
  <si>
    <t>-0.15</t>
  </si>
  <si>
    <t>Image-to-text</t>
  </si>
  <si>
    <t>Henighan et al. (2020): modality-specific loss fits follow a power law in compute (often with an irreducible loss term), i.e. L(C)=L∞+k·C^αC; here αC≈-0.15.</t>
  </si>
  <si>
    <t>17%–23%</t>
  </si>
  <si>
    <t>10^13–10^20</t>
  </si>
  <si>
    <t>1–3 (test)</t>
  </si>
  <si>
    <t>Transfer learning</t>
  </si>
  <si>
    <t>Hernandez et al. (2021): models transfer as an “effective data” term (D_T) so downstream performance behaves like training on D + D_T tokens; provides transfer scaling relationships rather than a single universal FLOP exponent.</t>
  </si>
  <si>
    <t>5%–11%</t>
  </si>
  <si>
    <t>10^16–10^19</t>
  </si>
  <si>
    <t>5–8 (test)</t>
  </si>
  <si>
    <t>-0.041</t>
  </si>
  <si>
    <t>French text prediction</t>
  </si>
  <si>
    <t>Chatelain et al. (2022): Figure 1 fits test loss ≈ 3.22 · C^{-0.041}. Compute C estimated as C=6·N·B·S (PF-days), with N=trainable non-embedding params.</t>
  </si>
  <si>
    <t>22%–35%</t>
  </si>
  <si>
    <t>10^23–10^25</t>
  </si>
  <si>
    <t>31%–58% (test error)</t>
  </si>
  <si>
    <t>NLP benchmarks</t>
  </si>
  <si>
    <t>Tay et al. (2022): compares methods that “transcend” baseline scaling with ~0.1% extra compute; shows scaling curves on NLP benchmarks but does not present a single canonical power-law exponent in the paper text (SC table summarizes % drop/decade over the shown range).</t>
  </si>
  <si>
    <t>Test loss (cross-entropy)</t>
  </si>
  <si>
    <t>Transfer scaling (Hernandez et al. 2021)</t>
  </si>
  <si>
    <t>OpenAI 2102.01293</t>
  </si>
  <si>
    <t>Trainable params determine loss–compute scaling (Chatelain et al. 2022)</t>
  </si>
  <si>
    <t>LightOn / PMLR v163 Chatelain22a</t>
  </si>
  <si>
    <t>NLP benchmark scaling (Tay et al. 2022)</t>
  </si>
  <si>
    <t>Google 2210.11399</t>
  </si>
  <si>
    <t>Test error (benchmark score)</t>
  </si>
  <si>
    <t>https://arxiv.org/abs/2305.16264</t>
  </si>
  <si>
    <t>https://arxiv.org/abs/2301.03728</t>
  </si>
  <si>
    <t>Data-Constrained Scaling (Muennighoff et al., 2023)</t>
  </si>
  <si>
    <t>Mixed-Modal Scaling (Aghajanyan et al., 2023) — Text (Causal)</t>
  </si>
  <si>
    <t>ChemGPT</t>
  </si>
  <si>
    <t>Allegro</t>
  </si>
  <si>
    <t>PaiNN</t>
  </si>
  <si>
    <t>SchNet</t>
  </si>
  <si>
    <t xml:space="preserve">https://chemrxiv.org/doi/pdf/10.26434/chemrxiv-2022-3s512 </t>
  </si>
  <si>
    <t>10^16-10^18</t>
  </si>
  <si>
    <t>https://arxiv.org/pdf/2410.08184</t>
  </si>
  <si>
    <t>https://arxiv.org/abs/2510.08702</t>
  </si>
  <si>
    <t>Architecture</t>
  </si>
  <si>
    <t>https://arxiv.org/abs/2202.06387</t>
  </si>
  <si>
    <t>Ivgi 2022</t>
  </si>
  <si>
    <t>ZeroShot ImageNet</t>
  </si>
  <si>
    <t>https//arxiv.org/abs/2212.07143</t>
  </si>
  <si>
    <t>Compute Optimal</t>
  </si>
  <si>
    <t>Fernandes et al. 2023</t>
  </si>
  <si>
    <t>https://arxiv.org/abs/2302.09650</t>
  </si>
  <si>
    <t>Test cross-entropy loss</t>
  </si>
  <si>
    <t>Nc and Dc are reported as log N_C and log D_C in the paper’s Table 1.</t>
  </si>
  <si>
    <t>Gordon et al. (2021): loss L(N,D)= [ (N_C/N)^(α_N/α_D) + (D_C/D) ]^{α_D} (their Eq. 1; Table 1 reports α_N, α_D, log N_C, log D_C for each language pair).</t>
  </si>
  <si>
    <t>(Gordon et al. 2021) — Ru-En</t>
  </si>
  <si>
    <t xml:space="preserve">https://aclanthology.org/2021.emnlp-main.478/ </t>
  </si>
  <si>
    <t xml:space="preserve">https://arxiv.org/abs/2202.01994 </t>
  </si>
  <si>
    <t>(Bansal et al. 2022</t>
  </si>
  <si>
    <t>Scaling Laws for Code: A More Data-Hungry Regime</t>
  </si>
  <si>
    <t>https://arxiv.org/abs/2108.07732</t>
  </si>
  <si>
    <t>Program Synthesis with Large Language Models</t>
  </si>
  <si>
    <t>NMT data-scaling exponent p (Bansal et al. 2022) — Figure 10 Zh→En architecture</t>
  </si>
  <si>
    <t>Test log-perplexity (log-PPL)</t>
  </si>
  <si>
    <t>Figure 10 label: 'The Role of Architecture in Zh En Models, p = 0.25'.</t>
  </si>
  <si>
    <t>Figure 10: scaling exponent p for Zh→En architecture comparison (common p, different α,C).</t>
  </si>
  <si>
    <t>https://arxiv.org/pdf/2205.05789</t>
  </si>
  <si>
    <t>https://arxiv.org/pdf/2411.02142</t>
  </si>
  <si>
    <t>Unconstrained MPNN</t>
  </si>
  <si>
    <t>GemNet</t>
  </si>
  <si>
    <t>EGNN</t>
  </si>
  <si>
    <t>eSEN</t>
  </si>
  <si>
    <t xml:space="preserve">https://openreview.net/pdf/b03ba1df906f97896361a34adab7f54b7a898135.pdf </t>
  </si>
  <si>
    <t>Equivariant GNN</t>
  </si>
  <si>
    <t>Task/Setting</t>
  </si>
  <si>
    <t>Transformer</t>
  </si>
  <si>
    <t>EquiformerV2</t>
  </si>
  <si>
    <t xml:space="preserve">https://arxiv.org/pdf/2509.21811 </t>
  </si>
  <si>
    <t xml:space="preserve">https://proceedings.neurips.cc/paper_files/paper/2024/file/2345275663a15ee92a06bc957be54a2c-Paper-Conference.pdf </t>
  </si>
  <si>
    <t>MPNN++</t>
  </si>
  <si>
    <t xml:space="preserve">https://arxiv.org/pdf/2504.08112 </t>
  </si>
  <si>
    <t>Scaling Laws of Graph Neural Networks for Atomistic Materials Modeling</t>
  </si>
  <si>
    <t>Loss Function</t>
  </si>
  <si>
    <t>Scalable GANs with Transformers (Hyun, Lee, Heo)</t>
  </si>
  <si>
    <t>https://arxiv.org/abs/2509.24935</t>
  </si>
  <si>
    <t>On the Scalability of Diffusion-based Text-to-Image Generation (Li, Zou, …)</t>
  </si>
  <si>
    <t>https://openreview.net/pdf/a5aba397592a333dfb1a2450b8f755ad0f5de144.pdf</t>
  </si>
  <si>
    <t>Multimodal</t>
  </si>
  <si>
    <t>Scaling Laws for Native Multimodal Models</t>
  </si>
  <si>
    <t>https://arxiv.org/pdf/2504.07951</t>
  </si>
  <si>
    <t>https://arxiv.org/pdf/2506.17811</t>
  </si>
  <si>
    <t>-0.145*</t>
  </si>
  <si>
    <t>RoboMonkey: Scaling Test-Time Sampling and Verification for Vision-Language-Action Models</t>
  </si>
  <si>
    <t>Gain from 10x Scaling -- Observed</t>
  </si>
  <si>
    <t/>
  </si>
  <si>
    <t>https://basecamp-research.com/wp-content/uploads/2026/01/BCR_Designing-programmable-therapeutics-with-the-EDEN-family-of-foundation-models.pdf#page=13.00</t>
  </si>
  <si>
    <t>Basecamp's EDEN</t>
  </si>
  <si>
    <t>OG2 – Metagenome</t>
  </si>
  <si>
    <t>Physics</t>
  </si>
  <si>
    <t xml:space="preserve">https://proceedings.neurips.cc/paper_files/paper/2024/file/84e1b1ec17bb11c57234e96433022a9a-Paper-Conference.pdf </t>
  </si>
  <si>
    <t>POSEIDON: Efficient Foundation Models for PDEs</t>
  </si>
  <si>
    <t>Genie 1</t>
  </si>
  <si>
    <t xml:space="preserve">https://arxiv.org/pdf/2402.15391 </t>
  </si>
  <si>
    <t>Wayve Gaia 3</t>
  </si>
  <si>
    <t>https://personalrobotics.cs.washington.edu/publications/huang2025drivegpt.pdf</t>
  </si>
  <si>
    <t>DriveGPT: Scaling Autoregressive Behavior Models for Driving</t>
  </si>
  <si>
    <t xml:space="preserve">https://proceedings.neurips.cc/paper_files/paper/2024/file/e0f393e7980a24fd12fa6f15adfa25fb-Paper-Conference.pdf </t>
  </si>
  <si>
    <t>Scaling Proprioceptive-Visual Learning with Heterogeneous Pre-trained Transformers</t>
  </si>
  <si>
    <t xml:space="preserve">https://arxiv.org/html/2508.08574 </t>
  </si>
  <si>
    <t>Amazon Floor Robotics "Robotic-Centric" Model</t>
  </si>
  <si>
    <t>Amazon Floor Robotics "Graph-Floor" Model</t>
  </si>
  <si>
    <t>Diffusion denoising loss</t>
  </si>
  <si>
    <t>Supervised structure loss (distance/geometry)</t>
  </si>
  <si>
    <t>Material property prediction (energy, forces, stress)</t>
  </si>
  <si>
    <t>Weighted sum of regression losses (energy/stress/forces)</t>
  </si>
  <si>
    <t>Language modeling</t>
  </si>
  <si>
    <t>Cross-entropy / NLL</t>
  </si>
  <si>
    <t>Language modeling (pretrain/transfer)</t>
  </si>
  <si>
    <t>Machine translation</t>
  </si>
  <si>
    <t>Code language modeling / generation</t>
  </si>
  <si>
    <t>Mathematical reasoning</t>
  </si>
  <si>
    <t>Multimodal autoregressive pretraining</t>
  </si>
  <si>
    <t>Image generation</t>
  </si>
  <si>
    <t>Text-to-image generation</t>
  </si>
  <si>
    <t>Image captioning</t>
  </si>
  <si>
    <t>Image-text contrastive pretraining</t>
  </si>
  <si>
    <t>Contrastive (InfoNCE)</t>
  </si>
  <si>
    <t>Dual-encoder</t>
  </si>
  <si>
    <t>Diffusion</t>
  </si>
  <si>
    <t>Adversarial (GAN)</t>
  </si>
  <si>
    <t>GAN</t>
  </si>
  <si>
    <t>Video modeling</t>
  </si>
  <si>
    <t>Video generation</t>
  </si>
  <si>
    <t>World modeling</t>
  </si>
  <si>
    <t>Behavior cloning (imitation learning)</t>
  </si>
  <si>
    <t>CNN</t>
  </si>
  <si>
    <t>Reinforcement learning</t>
  </si>
  <si>
    <t>RL objective (policy/value)</t>
  </si>
  <si>
    <t>Policy+value (AlphaZero)</t>
  </si>
  <si>
    <t>Robotics imitation learning (next-action prediction)</t>
  </si>
  <si>
    <t>Regression (MSE/MAE/Huber)</t>
  </si>
  <si>
    <t>GNN</t>
  </si>
  <si>
    <t>Robotics imitation learning</t>
  </si>
  <si>
    <t>Survey/meta-analysis (robotics scaling laws)</t>
  </si>
  <si>
    <t>N/A (survey)</t>
  </si>
  <si>
    <t>Vision-language-action robotics (test-time sampling + verification)</t>
  </si>
  <si>
    <t>Preference loss (Bradley–Terry / logistic)</t>
  </si>
  <si>
    <t>VLA</t>
  </si>
  <si>
    <t>Autonomous driving behavior modeling</t>
  </si>
  <si>
    <t>Protein language modeling</t>
  </si>
  <si>
    <t>Genomics language modeling</t>
  </si>
  <si>
    <t>Protein structure prediction</t>
  </si>
  <si>
    <t>Single-cell perturbation prediction</t>
  </si>
  <si>
    <t>Molecular language modeling</t>
  </si>
  <si>
    <t>Interatomic potential / force field learning</t>
  </si>
  <si>
    <t>Molecular property prediction</t>
  </si>
  <si>
    <t>Atomistic materials modeling</t>
  </si>
  <si>
    <t>PDE surrogate modeling (operator learning)</t>
  </si>
  <si>
    <t>Neural operator (Transformer)</t>
  </si>
  <si>
    <t>Paper</t>
  </si>
  <si>
    <t>Large-scale supervised image classification pretraining (JFT ~4B) + transfer (linear probe/zero-shot/segmentation/depth/video)</t>
  </si>
  <si>
    <t>Sigmoid cross-entropy (multi-label classification) for pretraining; downstream: task-specific (e.g., softmax CE for ImageNet fine-tune)</t>
  </si>
  <si>
    <t>Vision Transformer (encoder-only) w/ parallel Attention+MLP blocks, QK LayerNorm (QK-normalization), omit bias on QKV + LayerNorm</t>
  </si>
  <si>
    <t>Scaling Vision Transformers to 22 Billion Parameters (Dehghani et al., 2023) — arXiv:2302.05442</t>
  </si>
  <si>
    <t>Training Compute-Optimal Protein Language Models (Cheng et al 2024)</t>
  </si>
  <si>
    <t>https://arxiv.org/pdf/2507.22210</t>
  </si>
  <si>
    <t>AMPLIFY: Scaling and Data Saturation in Protein Language Models</t>
  </si>
  <si>
    <t>MLM Cross-entropy / negative log-likelihood of masked amino-acid tokens</t>
  </si>
  <si>
    <t>Median</t>
  </si>
  <si>
    <t>Average</t>
  </si>
  <si>
    <t>Expected Loss from 10x Scaling</t>
  </si>
  <si>
    <t>Compute Optimal Ratio</t>
  </si>
  <si>
    <t>https://arxiv.org/abs/2302.05442</t>
  </si>
  <si>
    <t>Token count uses dataset total amino acids.</t>
  </si>
  <si>
    <t>Tokens from dataset amino-acid count; FLOPs estimated (~5.6×params×tokens)</t>
  </si>
  <si>
    <t>MLM</t>
  </si>
  <si>
    <t>ESM-1b</t>
  </si>
  <si>
    <t>Token count uses BFD total amino acids; training epochs/total seen tokens not always reported.</t>
  </si>
  <si>
    <t>Tokens from BFD amino-acid count; FLOPs estimated (~5.6×params×tokens)</t>
  </si>
  <si>
    <t>ProtBERT-BFD</t>
  </si>
  <si>
    <t>Source reports 991.5k steps, batch size 2,000, seq length 512 on TPU Pod V2-256.</t>
  </si>
  <si>
    <t>Tokens computed from steps×batch×seq_len; FLOPs estimated (6×params×tokens)</t>
  </si>
  <si>
    <t>T5 denoising</t>
  </si>
  <si>
    <t>ProtT5-XL-UniRef50 (initialized from ProtT5-XL-BFD)</t>
  </si>
  <si>
    <t>Epoch reports ~6e23 operations and 1T tokens; also mentions 768 A100s and date range.</t>
  </si>
  <si>
    <t>Reported (~operations) (Epoch AI blog)</t>
  </si>
  <si>
    <t>Protein LM</t>
  </si>
  <si>
    <t>xTrimoPGLM</t>
  </si>
  <si>
    <t>Tokens are reported as 'unique tokens'.</t>
  </si>
  <si>
    <t>Reported (EvolutionaryScale)</t>
  </si>
  <si>
    <t>Multimodal generative</t>
  </si>
  <si>
    <t>ESM3</t>
  </si>
  <si>
    <t>Tokens computed from batch_size(500k)×steps(350k) in ProGen2 paper Table 1.</t>
  </si>
  <si>
    <t>Estimated (6×params×tokens)</t>
  </si>
  <si>
    <t>CLM</t>
  </si>
  <si>
    <t>ProGen2-small</t>
  </si>
  <si>
    <t>ProGen2-medium</t>
  </si>
  <si>
    <t>Tokens computed from batch_size(500k)×steps(400k) in ProGen2 paper Table 1.</t>
  </si>
  <si>
    <t>ProGen2-large</t>
  </si>
  <si>
    <t>Tokens and FLOPs reported as 'Train. Tokens' and 'FLOPs'.</t>
  </si>
  <si>
    <t>Reported (NeurIPS 2024 Table 5)</t>
  </si>
  <si>
    <t>ProGen2-xlarge</t>
  </si>
  <si>
    <t>ESM-2 (3B)</t>
  </si>
  <si>
    <t>Notes</t>
  </si>
  <si>
    <t>Reported vs estimated</t>
  </si>
  <si>
    <t>Training compute (FLOPs)</t>
  </si>
  <si>
    <t>Training tokens</t>
  </si>
  <si>
    <t>Parameters</t>
  </si>
  <si>
    <t>Objective</t>
  </si>
  <si>
    <t>Model</t>
  </si>
  <si>
    <t>Tokens / parms</t>
  </si>
  <si>
    <t xml:space="preserve">Avg Token / Param </t>
  </si>
  <si>
    <t>Training compute (publicly disclosed)</t>
  </si>
  <si>
    <t>Training “tokens” / data (publicly disclosed)</t>
  </si>
  <si>
    <t>Meta MovieGenVideo</t>
  </si>
  <si>
    <t>30B</t>
  </si>
  <si>
    <r>
      <t xml:space="preserve">Paper reports training at scale with </t>
    </r>
    <r>
      <rPr>
        <b/>
        <sz val="12"/>
        <color theme="1"/>
        <rFont val="Aptos Narrow"/>
        <family val="2"/>
        <scheme val="minor"/>
      </rPr>
      <t>up to 6,144 H100 GPUs</t>
    </r>
    <r>
      <rPr>
        <sz val="12"/>
        <color theme="1"/>
        <rFont val="Aptos Narrow"/>
        <family val="2"/>
        <scheme val="minor"/>
      </rPr>
      <t xml:space="preserve"> (but does </t>
    </r>
    <r>
      <rPr>
        <b/>
        <sz val="12"/>
        <color theme="1"/>
        <rFont val="Aptos Narrow"/>
        <family val="2"/>
        <scheme val="minor"/>
      </rPr>
      <t>not</t>
    </r>
    <r>
      <rPr>
        <sz val="12"/>
        <color theme="1"/>
        <rFont val="Aptos Narrow"/>
        <family val="2"/>
        <scheme val="minor"/>
      </rPr>
      <t xml:space="preserve"> give a single “total FLOPs” or “total GPU‑hours” number).</t>
    </r>
  </si>
  <si>
    <r>
      <t xml:space="preserve">Pretrained on </t>
    </r>
    <r>
      <rPr>
        <b/>
        <sz val="12"/>
        <color theme="1"/>
        <rFont val="Aptos Narrow"/>
        <family val="2"/>
        <scheme val="minor"/>
      </rPr>
      <t>~100M videos + ~1B images</t>
    </r>
    <r>
      <rPr>
        <sz val="12"/>
        <color theme="1"/>
        <rFont val="Aptos Narrow"/>
        <family val="2"/>
        <scheme val="minor"/>
      </rPr>
      <t xml:space="preserve"> and uses </t>
    </r>
    <r>
      <rPr>
        <b/>
        <sz val="12"/>
        <color theme="1"/>
        <rFont val="Aptos Narrow"/>
        <family val="2"/>
        <scheme val="minor"/>
      </rPr>
      <t>73K video tokens</t>
    </r>
    <r>
      <rPr>
        <sz val="12"/>
        <color theme="1"/>
        <rFont val="Aptos Narrow"/>
        <family val="2"/>
        <scheme val="minor"/>
      </rPr>
      <t xml:space="preserve"> context length (16s @ 16fps @ 768²).</t>
    </r>
  </si>
  <si>
    <t>Step‑Video‑T2V (StepFun)</t>
  </si>
  <si>
    <r>
      <t xml:space="preserve">Describes training in a datacenter with </t>
    </r>
    <r>
      <rPr>
        <b/>
        <sz val="12"/>
        <color theme="1"/>
        <rFont val="Aptos Narrow"/>
        <family val="2"/>
        <scheme val="minor"/>
      </rPr>
      <t>thousands of NVIDIA H800 GPUs</t>
    </r>
    <r>
      <rPr>
        <sz val="12"/>
        <color theme="1"/>
        <rFont val="Aptos Narrow"/>
        <family val="2"/>
        <scheme val="minor"/>
      </rPr>
      <t xml:space="preserve"> and achieving </t>
    </r>
    <r>
      <rPr>
        <b/>
        <sz val="12"/>
        <color theme="1"/>
        <rFont val="Aptos Narrow"/>
        <family val="2"/>
        <scheme val="minor"/>
      </rPr>
      <t>99% effective GPU training time over &gt;1 month</t>
    </r>
    <r>
      <rPr>
        <sz val="12"/>
        <color theme="1"/>
        <rFont val="Aptos Narrow"/>
        <family val="2"/>
        <scheme val="minor"/>
      </rPr>
      <t xml:space="preserve"> (but no total compute figure).</t>
    </r>
  </si>
  <si>
    <r>
      <t xml:space="preserve">Reports </t>
    </r>
    <r>
      <rPr>
        <b/>
        <sz val="12"/>
        <color theme="1"/>
        <rFont val="Aptos Narrow"/>
        <family val="2"/>
        <scheme val="minor"/>
      </rPr>
      <t>2B video‑text pairs + 3.8B image‑text pairs</t>
    </r>
    <r>
      <rPr>
        <sz val="12"/>
        <color theme="1"/>
        <rFont val="Aptos Narrow"/>
        <family val="2"/>
        <scheme val="minor"/>
      </rPr>
      <t xml:space="preserve"> for pretraining data construction, and a pretraining recipe with </t>
    </r>
    <r>
      <rPr>
        <b/>
        <sz val="12"/>
        <color theme="1"/>
        <rFont val="Aptos Narrow"/>
        <family val="2"/>
        <scheme val="minor"/>
      </rPr>
      <t>#iters and #seen samples</t>
    </r>
    <r>
      <rPr>
        <sz val="12"/>
        <color theme="1"/>
        <rFont val="Aptos Narrow"/>
        <family val="2"/>
        <scheme val="minor"/>
      </rPr>
      <t xml:space="preserve"> (e.g., 3.8B images; ~671M video clips across stages shown).</t>
    </r>
  </si>
  <si>
    <t>Open‑Sora 2.0</t>
  </si>
  <si>
    <t>11B</t>
  </si>
  <si>
    <r>
      <t xml:space="preserve">Training cost breakdown includes </t>
    </r>
    <r>
      <rPr>
        <b/>
        <sz val="12"/>
        <color theme="1"/>
        <rFont val="Aptos Narrow"/>
        <family val="2"/>
        <scheme val="minor"/>
      </rPr>
      <t>4,160 GPU‑days</t>
    </r>
    <r>
      <rPr>
        <sz val="12"/>
        <color theme="1"/>
        <rFont val="Aptos Narrow"/>
        <family val="2"/>
        <scheme val="minor"/>
      </rPr>
      <t xml:space="preserve"> total (≈ </t>
    </r>
    <r>
      <rPr>
        <b/>
        <sz val="12"/>
        <color theme="1"/>
        <rFont val="Aptos Narrow"/>
        <family val="2"/>
        <scheme val="minor"/>
      </rPr>
      <t>99,840 GPU‑hours</t>
    </r>
    <r>
      <rPr>
        <sz val="12"/>
        <color theme="1"/>
        <rFont val="Aptos Narrow"/>
        <family val="2"/>
        <scheme val="minor"/>
      </rPr>
      <t xml:space="preserve">) for a full run </t>
    </r>
    <r>
      <rPr>
        <b/>
        <sz val="12"/>
        <color theme="1"/>
        <rFont val="Aptos Narrow"/>
        <family val="2"/>
        <scheme val="minor"/>
      </rPr>
      <t>under a stated cost assumption</t>
    </r>
    <r>
      <rPr>
        <sz val="12"/>
        <color theme="1"/>
        <rFont val="Aptos Narrow"/>
        <family val="2"/>
        <scheme val="minor"/>
      </rPr>
      <t xml:space="preserve"> (“H200 at $2/GPU‑hour”), with stages like 224 GPUs × 85k iters, etc.</t>
    </r>
  </si>
  <si>
    <r>
      <t>Uses “tokens” explicitly: notes an 8s high‑res clip could be ~</t>
    </r>
    <r>
      <rPr>
        <b/>
        <sz val="12"/>
        <color theme="1"/>
        <rFont val="Aptos Narrow"/>
        <family val="2"/>
        <scheme val="minor"/>
      </rPr>
      <t>115K tokens/video</t>
    </r>
    <r>
      <rPr>
        <sz val="12"/>
        <color theme="1"/>
        <rFont val="Aptos Narrow"/>
        <family val="2"/>
        <scheme val="minor"/>
      </rPr>
      <t xml:space="preserve"> under certain VAE+patch settings, and provides max‑token buckets (e.g., </t>
    </r>
    <r>
      <rPr>
        <b/>
        <sz val="12"/>
        <color theme="1"/>
        <rFont val="Aptos Narrow"/>
        <family val="2"/>
        <scheme val="minor"/>
      </rPr>
      <t>8,448 max tokens</t>
    </r>
    <r>
      <rPr>
        <sz val="12"/>
        <color theme="1"/>
        <rFont val="Aptos Narrow"/>
        <family val="2"/>
        <scheme val="minor"/>
      </rPr>
      <t xml:space="preserve"> at 256px; </t>
    </r>
    <r>
      <rPr>
        <b/>
        <sz val="12"/>
        <color theme="1"/>
        <rFont val="Aptos Narrow"/>
        <family val="2"/>
        <scheme val="minor"/>
      </rPr>
      <t>76,032 max tokens</t>
    </r>
    <r>
      <rPr>
        <sz val="12"/>
        <color theme="1"/>
        <rFont val="Aptos Narrow"/>
        <family val="2"/>
        <scheme val="minor"/>
      </rPr>
      <t xml:space="preserve"> at 768px). Also lists stage dataset sizes (e.g., </t>
    </r>
    <r>
      <rPr>
        <b/>
        <sz val="12"/>
        <color theme="1"/>
        <rFont val="Aptos Narrow"/>
        <family val="2"/>
        <scheme val="minor"/>
      </rPr>
      <t>70M / 10M / 5M</t>
    </r>
    <r>
      <rPr>
        <sz val="12"/>
        <color theme="1"/>
        <rFont val="Aptos Narrow"/>
        <family val="2"/>
        <scheme val="minor"/>
      </rPr>
      <t>).</t>
    </r>
  </si>
  <si>
    <t>Tencent HunyuanVideo</t>
  </si>
  <si>
    <r>
      <t>&gt;13B</t>
    </r>
    <r>
      <rPr>
        <sz val="12"/>
        <color theme="1"/>
        <rFont val="Aptos Narrow"/>
        <family val="2"/>
        <scheme val="minor"/>
      </rPr>
      <t xml:space="preserve"> (reported as “over 13B parameters”)</t>
    </r>
  </si>
  <si>
    <t>Not disclosed publicly (in the abstract snippet; full report may include more, but it’s not in the publicly visible abstract data).</t>
  </si>
  <si>
    <t>Not disclosed publicly as “total tokens”; not standardized in public materials.</t>
  </si>
  <si>
    <t>Wan2.2 (Wan‑Video, MoE “A14B” line)</t>
  </si>
  <si>
    <r>
      <t>27B total / 14B active per step</t>
    </r>
    <r>
      <rPr>
        <sz val="12"/>
        <color theme="1"/>
        <rFont val="Aptos Narrow"/>
        <family val="2"/>
        <scheme val="minor"/>
      </rPr>
      <t xml:space="preserve"> for the MoE A14B series; also mentions a </t>
    </r>
    <r>
      <rPr>
        <b/>
        <sz val="12"/>
        <color theme="1"/>
        <rFont val="Aptos Narrow"/>
        <family val="2"/>
        <scheme val="minor"/>
      </rPr>
      <t>5B</t>
    </r>
    <r>
      <rPr>
        <sz val="12"/>
        <color theme="1"/>
        <rFont val="Aptos Narrow"/>
        <family val="2"/>
        <scheme val="minor"/>
      </rPr>
      <t xml:space="preserve"> dense TI2V model.</t>
    </r>
  </si>
  <si>
    <t>Training compute not disclosed in the repo README.</t>
  </si>
  <si>
    <t>Training tokens/data scale not disclosed in the repo README.</t>
  </si>
  <si>
    <t>Reported training compute</t>
  </si>
  <si>
    <t>NTv3_650M_pre (InstaDeep)</t>
  </si>
  <si>
    <t>Not stated in model card</t>
  </si>
  <si>
    <t>Evo2-7B</t>
  </si>
  <si>
    <t>DNA single-base</t>
  </si>
  <si>
    <t>Not stated in table</t>
  </si>
  <si>
    <t>GENERator-1B</t>
  </si>
  <si>
    <t>1.2B</t>
  </si>
  <si>
    <t>11,776 A100-hours (32 GPUs × 368 hours)</t>
  </si>
  <si>
    <t>Nucleotide Transformer v2 (500M)</t>
  </si>
  <si>
    <t>Trained on 8×A100 80GB (duration not given)</t>
  </si>
  <si>
    <t>Nucleotide Transformer (NT-2500M-multi)</t>
  </si>
  <si>
    <t>Not reported in that table</t>
  </si>
  <si>
    <t>DNABERT-2</t>
  </si>
  <si>
    <t>DNABERT (6-mer)</t>
  </si>
  <si>
    <t>~25 days on 8×NVIDIA 2080Ti GPUs</t>
  </si>
  <si>
    <t>HyenaDNA</t>
  </si>
  <si>
    <t>Caduceus</t>
  </si>
  <si>
    <t>Enformer</t>
  </si>
  <si>
    <t>PLMs</t>
  </si>
  <si>
    <t>Genomics</t>
  </si>
  <si>
    <t>Model / variant</t>
  </si>
  <si>
    <t>Release year</t>
  </si>
  <si>
    <t>Total params</t>
  </si>
  <si>
    <t>Trainable params (during training)</t>
  </si>
  <si>
    <t>Training compute (reported)</t>
  </si>
  <si>
    <t>Training compute (est.)</t>
  </si>
  <si>
    <t>Training data / 'tokens' (reported)</t>
  </si>
  <si>
    <t>Token definition used</t>
  </si>
  <si>
    <t>OpenVLA (pretraining)</t>
  </si>
  <si>
    <t>7B</t>
  </si>
  <si>
    <t>21,500 A100-hours (64×A100 for 14 days)</t>
  </si>
  <si>
    <t>970k robot trajectories × 27 epochs = 26.19M trajectory-passes</t>
  </si>
  <si>
    <t>Trajectory-passes (trajectory-level; step-level tokens not disclosed)</t>
  </si>
  <si>
    <t>OpenVLA fine-tune: Full FT</t>
  </si>
  <si>
    <t>7.188B (Table 1)</t>
  </si>
  <si>
    <t>Per task: 8×A100 for 5–15 hours (40–120 A100-hours)</t>
  </si>
  <si>
    <t>Per task: 10–150 demonstrations</t>
  </si>
  <si>
    <t>Demonstrations (episode-level)</t>
  </si>
  <si>
    <t>OpenVLA fine-tune: Last layer only</t>
  </si>
  <si>
    <t>465.1M (Table 1)</t>
  </si>
  <si>
    <t>OpenVLA fine-tune: Frozen vision</t>
  </si>
  <si>
    <t>6.760B (Table 1)</t>
  </si>
  <si>
    <t>OpenVLA fine-tune: Sandwich</t>
  </si>
  <si>
    <t>914.2M (Table 1)</t>
  </si>
  <si>
    <t>OpenVLA fine-tune: LoRA rank=32</t>
  </si>
  <si>
    <t>97.6M (Table 1)</t>
  </si>
  <si>
    <t>OpenVLA fine-tune: LoRA rank=64</t>
  </si>
  <si>
    <t>195.2M (Table 1)</t>
  </si>
  <si>
    <t>Octo-Base (pretraining)</t>
  </si>
  <si>
    <t>93M</t>
  </si>
  <si>
    <t>TPU v4-128 for 14 hours; 300k steps; batch size 2048</t>
  </si>
  <si>
    <t>2.249e+20 FLOPs (rough)</t>
  </si>
  <si>
    <t>4.030e+11 token-positions (≈614.4M examples)</t>
  </si>
  <si>
    <t>Token-positions ≈ steps×batch×(2*(256+64)+16) = steps×batch×656</t>
  </si>
  <si>
    <t>Octo-Small (pretraining)</t>
  </si>
  <si>
    <t>27M</t>
  </si>
  <si>
    <t>Same training recipe as Octo; batch size 2048; tokenization as in paper</t>
  </si>
  <si>
    <t>6.529e+19 FLOPs (rough)</t>
  </si>
  <si>
    <t>Token-positions ≈ steps×batch×656 (see Octo tokenization)</t>
  </si>
  <si>
    <t>Octo fine-tune (consumer setup example)</t>
  </si>
  <si>
    <t>27M or 93M (Octo variant)</t>
  </si>
  <si>
    <t>≈full model (fine-tuning)</t>
  </si>
  <si>
    <t>Single NVIDIA A5000 GPU ~5 hours; 50k steps</t>
  </si>
  <si>
    <t>≈100 trajectories (example)</t>
  </si>
  <si>
    <t>Trajectories (episode-level)</t>
  </si>
  <si>
    <t xml:space="preserve">Autonomous driving </t>
  </si>
  <si>
    <t>GAIA-1</t>
  </si>
  <si>
    <t>Tokens</t>
  </si>
  <si>
    <t>Reported: dataset ≈ 4,700 hours @ 25 Hz = ~420M unique images. \nReported: each image encoded as 18×32 = 576 discrete tokens. \nDerived image-token count: 420,000,000 × 576 = 241,920,000,000 ≈ 2.42×10¹¹ tokens (image tokens only).</t>
  </si>
  <si>
    <t>Model (release)</t>
  </si>
  <si>
    <t>Training compute (as reported)</t>
  </si>
  <si>
    <t>Training data (“tokens” proxy)</t>
  </si>
  <si>
    <t>22,016 A100-40GB GPU-hours</t>
  </si>
  <si>
    <t>Compute not given as a single GPU-hour / FLOPs number in the abstract excerpt I captured</t>
  </si>
  <si>
    <t>DINOv2 ViT-g/14 (2023)</t>
  </si>
  <si>
    <t>142,109,386 images (LVD-142M)</t>
  </si>
  <si>
    <t>SAM-H (Segment Anything, ViT-H) (2023)</t>
  </si>
  <si>
    <t>256× A100 GPUs for 68 hours (≈ 17,408 A100 GPU-hours)</t>
  </si>
  <si>
    <t>&gt;1B masks on 11M images (SA-1B)</t>
  </si>
  <si>
    <t>EVA-02-CLIP-E/14+ (EVA‑CLIP) (2023)</t>
  </si>
  <si>
    <t>9B “seen samples” (image–text pairs processed)</t>
  </si>
  <si>
    <t>GAIA-1 image tokenizer</t>
  </si>
  <si>
    <t>0.3B (ar5iv)</t>
  </si>
  <si>
    <t>18.432B = 200k steps × 160 batch × 576 tokens/image (ar5iv)</t>
  </si>
  <si>
    <t>GAIA-1 world model</t>
  </si>
  <si>
    <t>6.5B (ar5iv)</t>
  </si>
  <si>
    <t>203.008B = 100k steps × 128 batch × 26 × (576 image + 32 text + 2 action) (ar5iv)</t>
  </si>
  <si>
    <t>GAIA-2 world model</t>
  </si>
  <si>
    <t>8.4B (arXiv)</t>
  </si>
  <si>
    <t>1,483.776B (1.484T) = 460k steps × 256 batch × 12,600 tokens/sample, where 12,600 = 6×5×14×30 (arXiv)</t>
  </si>
  <si>
    <t>GAIA-3 world model (estimate)</t>
  </si>
  <si>
    <t>15B (Wayve)</t>
  </si>
  <si>
    <t>~7.42T to ~14.84T (est.) using Wayve’s “~5× compute” and “~10× data vs GAIA-2” (no public step/batch/token formula) (Wayve)</t>
  </si>
  <si>
    <t>Images seen</t>
  </si>
  <si>
    <t>Pixels used per image</t>
  </si>
  <si>
    <t>Tokenization</t>
  </si>
  <si>
    <t>Vision tokens per image</t>
  </si>
  <si>
    <t>Total vision tokens</t>
  </si>
  <si>
    <t>1.28B + 20.5M</t>
  </si>
  <si>
    <t>2×224px + 8×98px crops (base)2×518px + 8×98px (hi-res)</t>
  </si>
  <si>
    <t>ViT patch=14</t>
  </si>
  <si>
    <t>base 914hi-res 3140</t>
  </si>
  <si>
    <t>23M</t>
  </si>
  <si>
    <t>1024×1024 input (embed 64×64)</t>
  </si>
  <si>
    <t>ViT patch=16 (64×64 tokens)</t>
  </si>
  <si>
    <t>224×224 (single crop)</t>
  </si>
  <si>
    <t>129 (FLIP 50% mask)full would be 257</t>
  </si>
  <si>
    <t>LLMs</t>
  </si>
  <si>
    <t>Params (#)</t>
  </si>
  <si>
    <t>Train tokens (#)</t>
  </si>
  <si>
    <t>bp equiv (#)</t>
  </si>
  <si>
    <t>Est train compute</t>
  </si>
  <si>
    <t>Est train FLOPs (#)</t>
  </si>
  <si>
    <t>DNA char-level</t>
  </si>
  <si>
    <t>37.80 ZFLOPs</t>
  </si>
  <si>
    <t>93.60 ZFLOPs</t>
  </si>
  <si>
    <t>DNA 6-mer (non-overlap assumed)</t>
  </si>
  <si>
    <t>2.66 ZFLOPs</t>
  </si>
  <si>
    <t>6-mer when possible (else single)</t>
  </si>
  <si>
    <t>2.70 ZFLOPs</t>
  </si>
  <si>
    <t>4.57 ZFLOPs</t>
  </si>
  <si>
    <t>BPE</t>
  </si>
  <si>
    <t>N/A</t>
  </si>
  <si>
    <t>183.92 EFLOPs</t>
  </si>
  <si>
    <t>6-mer (overlap in original DNABERT)</t>
  </si>
  <si>
    <t>65.15 EFLOPs</t>
  </si>
  <si>
    <t>0.99 EFLOPs</t>
  </si>
  <si>
    <t>1.68 EFLOPs</t>
  </si>
  <si>
    <t>96.77 EFLOPs</t>
  </si>
  <si>
    <t>Tokens / Param</t>
  </si>
  <si>
    <t>Autonomous Driving</t>
  </si>
  <si>
    <t>Bio -- PLMs</t>
  </si>
  <si>
    <t>Non-LLMs</t>
  </si>
  <si>
    <t>Training tokens (computed from reported crops + samples)</t>
  </si>
  <si>
    <t>What the papers/cards report that supports the token calc</t>
  </si>
  <si>
    <t>OpenFold</t>
  </si>
  <si>
    <t>3 training phases run for 10M, 1.5M, 0.5M protein samples; training follows AlphaFold2 crop sizes (256 then 384). (PubMed Central)</t>
  </si>
  <si>
    <t>OpenFold3</t>
  </si>
  <si>
    <t>AlphaFold3 training stages: Ntoken = 384 / 640 / 768 / 768 with training samples ≈ 20M / 1.5M / 1.5M / 1.8M; OpenFold3 weights follow the AlphaFold3 procedure. (Springer Static Content)</t>
  </si>
  <si>
    <t>Seq-to-Structure</t>
  </si>
  <si>
    <t>Tokens/param</t>
  </si>
  <si>
    <t>ESMFold (ESM2-based folding head)</t>
  </si>
  <si>
    <t>OmegaFold</t>
  </si>
  <si>
    <t>Not reliably cited from an accessible primary snippet here</t>
  </si>
  <si>
    <r>
      <t>~3456 GPU-days</t>
    </r>
    <r>
      <rPr>
        <sz val="12"/>
        <color theme="1"/>
        <rFont val="Aptos Narrow"/>
        <family val="2"/>
        <scheme val="minor"/>
      </rPr>
      <t xml:space="preserve"> (comparative source)</t>
    </r>
  </si>
  <si>
    <t>Comparative paper reports OmegaFold training consumption around 3456 GPU-days. (Nature)</t>
  </si>
  <si>
    <t>AlphaFold2 (DeepMind)</t>
  </si>
  <si>
    <t>Often cited ~90M-class, but I don’t have a citable snippet in the accessible sources here</t>
  </si>
  <si>
    <r>
      <t>128 TPUs × &gt;11 days</t>
    </r>
    <r>
      <rPr>
        <sz val="12"/>
        <color theme="1"/>
        <rFont val="Aptos Narrow"/>
        <family val="2"/>
        <scheme val="minor"/>
      </rPr>
      <t xml:space="preserve"> (chip-time)</t>
    </r>
  </si>
  <si>
    <r>
      <t>10M samples</t>
    </r>
    <r>
      <rPr>
        <sz val="12"/>
        <color theme="1"/>
        <rFont val="Aptos Narrow"/>
        <family val="2"/>
        <scheme val="minor"/>
      </rPr>
      <t xml:space="preserve"> (not “tokens”)</t>
    </r>
  </si>
  <si>
    <t>NVIDIA’s OpenFold optimization post states AlphaFold2 training used 10M samples with 128 TPUs and took &gt;11 days to converge. (NVIDIA Developer) (This is chip-time and sample count; “tokens” per sample aren’t specified there.)</t>
  </si>
  <si>
    <t>OpenFold (retraining AlphaFold2-style model)</t>
  </si>
  <si>
    <r>
      <t>128 A100 GPUs × &gt;8 days</t>
    </r>
    <r>
      <rPr>
        <sz val="12"/>
        <color theme="1"/>
        <rFont val="Aptos Narrow"/>
        <family val="2"/>
        <scheme val="minor"/>
      </rPr>
      <t xml:space="preserve"> (chip-time)</t>
    </r>
  </si>
  <si>
    <t>Not in cited snippet</t>
  </si>
  <si>
    <t>Same NVIDIA post states OpenFold training on 128 A100 GPUs takes &gt;8 days. (NVIDIA Developer)</t>
  </si>
  <si>
    <t>Uni-Fold</t>
  </si>
  <si>
    <r>
      <t>~4.18 days end-to-end training time</t>
    </r>
    <r>
      <rPr>
        <sz val="12"/>
        <color theme="1"/>
        <rFont val="Aptos Narrow"/>
        <family val="2"/>
        <scheme val="minor"/>
      </rPr>
      <t xml:space="preserve"> (chip-time not fully specified)</t>
    </r>
  </si>
  <si>
    <t>An arXiv PDF snippet states end-to-end AlphaFold2 training time reduced to 4.18 days on UniFold. (arXiv)</t>
  </si>
  <si>
    <t>HelixFold (AlphaFold2-style training system)</t>
  </si>
  <si>
    <r>
      <t>~4.88 days end-to-end training time</t>
    </r>
    <r>
      <rPr>
        <sz val="12"/>
        <color theme="1"/>
        <rFont val="Aptos Narrow"/>
        <family val="2"/>
        <scheme val="minor"/>
      </rPr>
      <t xml:space="preserve"> (chip-time not fully specified)</t>
    </r>
  </si>
  <si>
    <t>Same arXiv PDF snippet states 4.88 days on HelixFold. (arXiv)</t>
  </si>
  <si>
    <t>HelixFold-Single (single-sequence folding, LM + AF2 geometry)</t>
  </si>
  <si>
    <r>
      <t xml:space="preserve">Training set described as </t>
    </r>
    <r>
      <rPr>
        <b/>
        <sz val="12"/>
        <color theme="1"/>
        <rFont val="Aptos Narrow"/>
        <family val="2"/>
        <scheme val="minor"/>
      </rPr>
      <t>~340k proteins</t>
    </r>
    <r>
      <rPr>
        <sz val="12"/>
        <color theme="1"/>
        <rFont val="Aptos Narrow"/>
        <family val="2"/>
        <scheme val="minor"/>
      </rPr>
      <t xml:space="preserve"> (80,852 experimental + ~264k distillation)</t>
    </r>
  </si>
  <si>
    <t>Full-text (PMC) snippet describes training data composition: ~340k proteins, including 80,852 with experimental structures and ~264k AlphaFold2-distillation structures. (PMC)</t>
  </si>
  <si>
    <t>RoseTTAFold / RoseTTAFold2 / RF-based folding</t>
  </si>
  <si>
    <t>Not in the accessible sources I could cite here</t>
  </si>
  <si>
    <r>
      <t xml:space="preserve">These are extremely popular, but </t>
    </r>
    <r>
      <rPr>
        <b/>
        <sz val="12"/>
        <color theme="1"/>
        <rFont val="Aptos Narrow"/>
        <family val="2"/>
        <scheme val="minor"/>
      </rPr>
      <t>parameter/compute/token</t>
    </r>
    <r>
      <rPr>
        <sz val="12"/>
        <color theme="1"/>
        <rFont val="Aptos Narrow"/>
        <family val="2"/>
        <scheme val="minor"/>
      </rPr>
      <t xml:space="preserve"> metadata is often </t>
    </r>
    <r>
      <rPr>
        <b/>
        <sz val="12"/>
        <color theme="1"/>
        <rFont val="Aptos Narrow"/>
        <family val="2"/>
        <scheme val="minor"/>
      </rPr>
      <t>not disclosed in a neat “params/compute/tokens” trio</t>
    </r>
    <r>
      <rPr>
        <sz val="12"/>
        <color theme="1"/>
        <rFont val="Aptos Narrow"/>
        <family val="2"/>
        <scheme val="minor"/>
      </rPr>
      <t xml:space="preserve"> in public summaries; you usually must extract from the paper’s methods/supplement. </t>
    </r>
    <r>
      <rPr>
        <i/>
        <sz val="12"/>
        <color theme="1"/>
        <rFont val="Aptos Narrow"/>
        <family val="2"/>
        <scheme val="minor"/>
      </rPr>
      <t>(I can’t reliably cite the trio from the sources available to me above.)</t>
    </r>
  </si>
  <si>
    <t>~896 GPU-days (as reported via a comparative source)</t>
  </si>
  <si>
    <t>Compute</t>
  </si>
  <si>
    <t>HelixFold</t>
  </si>
  <si>
    <t>https://arxiv.org/pdf/2207.05477</t>
  </si>
  <si>
    <t>model</t>
  </si>
  <si>
    <t>variant</t>
  </si>
  <si>
    <t>params</t>
  </si>
  <si>
    <t>steps</t>
  </si>
  <si>
    <t>global_batch</t>
  </si>
  <si>
    <t>examples_processed</t>
  </si>
  <si>
    <t>tokens_per_example</t>
  </si>
  <si>
    <t>token_type</t>
  </si>
  <si>
    <t>total_image_tokens</t>
  </si>
  <si>
    <t>notes</t>
  </si>
  <si>
    <t>params_B</t>
  </si>
  <si>
    <t>examples_processed_B</t>
  </si>
  <si>
    <t>total_image_tokens_T</t>
  </si>
  <si>
    <t>Sources_params</t>
  </si>
  <si>
    <t>Sources_training</t>
  </si>
  <si>
    <t>Sources_tokenization</t>
  </si>
  <si>
    <t>Sources_all</t>
  </si>
  <si>
    <t>Parti</t>
  </si>
  <si>
    <t>Parti-3B</t>
  </si>
  <si>
    <t>VQ image tokens</t>
  </si>
  <si>
    <t>Image token sequence length fixed to 1024.</t>
  </si>
  <si>
    <t>https://arxiv.org/abs/2206.10789; https://arxiv.org/pdf/2206.10789.pdf; https://ar5iv.org/pdf/2206.10789</t>
  </si>
  <si>
    <t>Parti-20B</t>
  </si>
  <si>
    <t>Muse</t>
  </si>
  <si>
    <t>Base-3B</t>
  </si>
  <si>
    <t>Base model: 16√ó16 token map (256 tokens) corresponding to 256√ó256 images.</t>
  </si>
  <si>
    <t>https://proceedings.mlr.press/v202/chang23b/chang23b.pdf</t>
  </si>
  <si>
    <t>pixels</t>
  </si>
  <si>
    <t>Stable Diffusion v2</t>
  </si>
  <si>
    <t>512-base-ema phase1 (256x256)</t>
  </si>
  <si>
    <t>latent tokens</t>
  </si>
  <si>
    <t>550k steps at 256√ó256.</t>
  </si>
  <si>
    <t>https://arxiv.org/abs/2404.02883; https://assets.amazon.science/43/7c/790ff5d842d98d4f399b53019345/on-the-scalability-of-diffusion-based-text-to-image-generation.pdf</t>
  </si>
  <si>
    <t>https://huggingface.co/stabilityai/stable-diffusion-x4-upscaler; https://huggingface.co/sd2-community/stable-diffusion-2-depth; https://huggingface.co/sd2-community/stable-diffusion-2-inpainting</t>
  </si>
  <si>
    <t>https://huggingface.co/stabilityai/stable-diffusion-x4-upscaler</t>
  </si>
  <si>
    <t>https://arxiv.org/abs/2404.02883; https://assets.amazon.science/43/7c/790ff5d842d98d4f399b53019345/on-the-scalability-of-diffusion-based-text-to-image-generation.pdf; https://huggingface.co/stabilityai/stable-diffusion-x4-upscaler; https://huggingface.co/sd2-community/stable-diffusion-2-depth; https://huggingface.co/sd2-community/stable-diffusion-2-inpainting</t>
  </si>
  <si>
    <t>512-base-ema phase2 (512x512)</t>
  </si>
  <si>
    <t>850k steps at 512√ó512.</t>
  </si>
  <si>
    <t>Kandinsky SuperRes</t>
  </si>
  <si>
    <t>Token total (min, assuming all 256√ó256)</t>
  </si>
  <si>
    <t>Lower bound if every step used 256√ó256.</t>
  </si>
  <si>
    <t>https://arxiv.org/abs/2312.03511</t>
  </si>
  <si>
    <t>Rigorous token metric</t>
  </si>
  <si>
    <t>Tokens (lower)</t>
  </si>
  <si>
    <t>Tokens (upper)</t>
  </si>
  <si>
    <t>Token notes / what's missing</t>
  </si>
  <si>
    <t>Primary source(s)</t>
  </si>
  <si>
    <t>Avg Token Est</t>
  </si>
  <si>
    <t>Tokens/Param</t>
  </si>
  <si>
    <t>GR00T-N1-2B (pretraining)</t>
  </si>
  <si>
    <t>2.2B</t>
  </si>
  <si>
    <t>≈2.2B (text tokenizer frozen)</t>
  </si>
  <si>
    <t>≈50,000 H100 GPU-hours (pretraining; up to 1024 GPUs)</t>
  </si>
  <si>
    <t>Total: 592.9M frames (~8,375.7 hours); pretraining: 200k steps × batch 16,384 = 3.277B examples</t>
  </si>
  <si>
    <t>Vision-token-positions (image tokens only) computed from reported steps×batch; excludes text/action tokens</t>
  </si>
  <si>
    <t>Vision-token-positions processed (image tokens only): steps×batch×(64 image tokens per frame)×(views 1–4)</t>
  </si>
  <si>
    <t>Uses 64 image tokens/frame per paper; range is 1–4 camera views (dataset-dependent). Does NOT include text tokens, state/action tokens, or diffusion-step multipliers.</t>
  </si>
  <si>
    <t>GR00T-N1-2B (post-training / fine-tuning)</t>
  </si>
  <si>
    <t>Adapters+DiT (or full incl. vision encoder)</t>
  </si>
  <si>
    <t>Post-training: 20k–60k gradient steps; batch size 128 or 1024; compute-constrained finetune tested on single A6000</t>
  </si>
  <si>
    <t>Per task: 30 / 100 / 300 demonstrations per task (benchmarks), plus optional neural trajectories</t>
  </si>
  <si>
    <t>Vision-token-positions (image tokens only) computed from reported step/batch ranges; excludes text/action tokens</t>
  </si>
  <si>
    <t>Vision-token-positions processed (image tokens only): steps×batch×(64 image tokens per frame)×(views 1–4); steps range 20k–60k</t>
  </si>
  <si>
    <t>Lower bound uses 20k steps &amp; 1 view; upper uses 60k steps &amp; 4 views. Does NOT include text tokens, state/action tokens, or diffusion-step multipliers.</t>
  </si>
  <si>
    <t>SmolVLA-0.45B (pretraining)</t>
  </si>
  <si>
    <t>450M</t>
  </si>
  <si>
    <t>≈100M (action expert only; VLM frozen)</t>
  </si>
  <si>
    <t>≈30k GPU-hours total project; pretraining used 4 GPUs (GPU type not specified)</t>
  </si>
  <si>
    <t>Community pretraining set: 481 datasets; 22.9K episodes; 10.6M frames; training: 200k steps × global batch 256 = 51.2M examples</t>
  </si>
  <si>
    <t>Frames/episodes + example-passes (steps×global batch)</t>
  </si>
  <si>
    <t>Vision-token-positions processed (64 visual tokens/image; assumes 1–3 camera images per example; excludes language+state+action tokens)</t>
  </si>
  <si>
    <t>Needs distribution of camera views per training example + text token lengths + action token slots to get full tokens/step.</t>
  </si>
  <si>
    <t>SmolVLA-0.45B (fine-tuning)</t>
  </si>
  <si>
    <t>Simulation finetune: 100k steps, batch 64; real-world finetune: 200k steps (batch not specified)</t>
  </si>
  <si>
    <t>Target-task datasets (varies by benchmark/task)</t>
  </si>
  <si>
    <t>Gradient steps (fine-tuning)</t>
  </si>
  <si>
    <t>π0 / pi0 (pretraining)</t>
  </si>
  <si>
    <t>3.3B</t>
  </si>
  <si>
    <t>3.3B (PaliGemma 3B + 300M action expert)</t>
  </si>
  <si>
    <t>Trained for 700k steps (full); hardware/GPU-hours not reported</t>
  </si>
  <si>
    <t>Pretraining on &gt;10,000 hours robot data; includes 903M timesteps from internal datasets + subset of OXE ('OXE Magic Soup')</t>
  </si>
  <si>
    <t>Robot timesteps + hours (sequence elements)</t>
  </si>
  <si>
    <t>Dataset token slots (internal π dataset only; 903M timesteps) excluding language; includes image tokens + 1 state token + H=50 action tokens</t>
  </si>
  <si>
    <t>Range reflects PaliGemma image size variants (224/448/896 =&gt; 256/1024/4096 image tokens) and 2–3 cameras. Paper does not specify which image-size variant was used, and does not report training global batch to convert to tokens processed.</t>
  </si>
  <si>
    <t>RT-2 (co-fine-tuning config: PaLI-X variant)</t>
  </si>
  <si>
    <t>Not reported here (PaLI-X backbone)</t>
  </si>
  <si>
    <t>Not reported</t>
  </si>
  <si>
    <t>80k gradient steps; batch size 2048 (co-fine-tuning config)</t>
  </si>
  <si>
    <t>≈163.8M examples (steps×batch)</t>
  </si>
  <si>
    <t>Example-passes (steps×batch)</t>
  </si>
  <si>
    <t>RT-2 (co-fine-tuning config: PaLM-E variant)</t>
  </si>
  <si>
    <t>Not reported here (PaLM-E backbone)</t>
  </si>
  <si>
    <t>1M gradient steps; batch size 512 (co-fine-tuning config)</t>
  </si>
  <si>
    <t>≈512.0M examples (steps×batch)</t>
  </si>
  <si>
    <t>RT-2 (co-fine-tuning config: 7B variant)</t>
  </si>
  <si>
    <t>2M gradient steps; batch size 256 (co-fine-tuning config)</t>
  </si>
  <si>
    <t>NORA (pretraining)</t>
  </si>
  <si>
    <t>3B</t>
  </si>
  <si>
    <t>8×H100 GPUs for ~3 weeks (~4,000 GPU-hours); 1.1M gradient steps; batch size 256</t>
  </si>
  <si>
    <t>Open X-Embodiment (OXE) dataset; ≈281.6M examples (1.1M steps×256)</t>
  </si>
  <si>
    <t>Vision-token-positions processed (224×224 Qwen2.5-VL =&gt; 64 visual tokens/frame; excludes language+action tokens)</t>
  </si>
  <si>
    <t>Exact visual-token count; action tokens per step (FAST+) and instruction token lengths not reported, so full tokens/step not computable without assumptions.</t>
  </si>
  <si>
    <t>SmolVLA-0.24B (reported variant)</t>
  </si>
  <si>
    <t>240M</t>
  </si>
  <si>
    <t>Not specified (likely action expert only)</t>
  </si>
  <si>
    <t>Not broken out by size in paper; overall project ~30k GPU-hours</t>
  </si>
  <si>
    <t>Same community datasets regime (481 datasets; 22.9K episodes; 10.6M frames)</t>
  </si>
  <si>
    <t>Frames/episodes (dataset size proxy)</t>
  </si>
  <si>
    <t>SmolVLA-2.25B (reported variant)</t>
  </si>
  <si>
    <t>2.25B</t>
  </si>
  <si>
    <t>Not specified</t>
  </si>
  <si>
    <t>π0-small (non-VLM baseline)</t>
  </si>
  <si>
    <t>470M</t>
  </si>
  <si>
    <t>Not reported (baseline ablation); trained without VLM initialization</t>
  </si>
  <si>
    <t>Trained on same pretraining mixture (internal + OXE subset) for ablations</t>
  </si>
  <si>
    <t>Dream-VLA (robotic pretraining)</t>
  </si>
  <si>
    <t>7B (Dream-7B backbone)</t>
  </si>
  <si>
    <t>Likely full 7B (not explicitly broken out)</t>
  </si>
  <si>
    <t>Robotic pretraining: 610,000 steps; global batch size 1024; LR 1e-5; action chunk size 8 (discrete diffusion loss)</t>
  </si>
  <si>
    <t>Open-X Embodiment: 970k robot manipulation trajectories (same as OpenVLA)</t>
  </si>
  <si>
    <t>Lower bound: discrete action-token-positions = steps×batch×(chunk_size×action_dims). Upper bound adds estimated vision+text token positions (assumptions).</t>
  </si>
  <si>
    <t>Action-token-positions processed (lower bound): steps×batch×(8×7) since actions discretized per-dimension into 256 bins; upper bound adds assumed vision+text tokens</t>
  </si>
  <si>
    <t>Lower bound counts only discretized action tokens (7D × chunk 8 = 56 tokens/example). Upper bound assumes 2 camera views × 256 image tokens/view + 128 text tokens; true vision/text tokenization and view count not specified for pretraining.</t>
  </si>
  <si>
    <t>https://arxiv.org/html/2512.22615v1</t>
  </si>
  <si>
    <t>DepthVLA (BridgeData V2 training example)</t>
  </si>
  <si>
    <t>≈3.9B (PaliGemma-3B + ~300M action expert + ~600M depth expert)</t>
  </si>
  <si>
    <t>Not fully specified (paper: depth+action experts ~300M each; depth encoder DINOv2-L + decoder add ~600M)</t>
  </si>
  <si>
    <t>Trained on 32×H100 GPUs; batch size 1024 for large datasets; trained on BridgeData V2 for 20k steps (~12 epochs)</t>
  </si>
  <si>
    <t>BridgeData V2: &gt;60k trajectories (WidowX) used for training in experiments</t>
  </si>
  <si>
    <t>Example-passes (steps×batch); continuous actions via flow-matching (not discrete action tokens)</t>
  </si>
  <si>
    <t>Examples processed on BridgeData V2: 20k steps × batch 1024 = 20.48M examples</t>
  </si>
  <si>
    <t>Flow-matching (continuous) action modeling, so no discrete “action tokens” reported; image tokenization/context length not specified, so token-positions cannot be computed rigorously.</t>
  </si>
  <si>
    <t>https://arxiv.org/html/2510.13375v1</t>
  </si>
  <si>
    <t>GR00T-N1.5-3B (pretraining schedule)</t>
  </si>
  <si>
    <t>3B (model card name)</t>
  </si>
  <si>
    <t>Not specified (likely full model)</t>
  </si>
  <si>
    <t>Pretraining: 250k steps; global batch size 16,384</t>
  </si>
  <si>
    <t>Not specified on release page (schedule only)</t>
  </si>
  <si>
    <t>Estimated vision-token-positions = steps×batch×(tokens_per_image×views); tokens_per_image assumed from 224px ViT patching (196–256)</t>
  </si>
  <si>
    <t>Approx. vision-token-positions (assumption): patch16→196 tokens/image and patch14→256 tokens/image; views assumed 1–4</t>
  </si>
  <si>
    <t>NVIDIA page reports steps &amp; global batch but not vision-tokenization. Token range assumes ViT-style patch tokens for 224×224 images (196–256 tokens/image) and 1–4 camera views; excludes text/action tokens.</t>
  </si>
  <si>
    <t>https://developer.nvidia.com/isaac/gr00t</t>
  </si>
  <si>
    <t>GR00T-N1.6-3B (pretraining schedule)</t>
  </si>
  <si>
    <t>Pretraining: 300k steps; global batch size 16,384</t>
  </si>
  <si>
    <t>RDT-1B (pretraining + finetuning)</t>
  </si>
  <si>
    <t>1.2B (core DiT); vision+language encoders frozen per paper</t>
  </si>
  <si>
    <t>Pretrained on H100 80GB GPUs for ~1 month; fine-tuned for ~3 days; mentions 1M pretraining checkpoint (used 500K checkpoint)</t>
  </si>
  <si>
    <t>Pretraining: 46 datasets, 1M+ episodes; finetuning: 6K+ bimanual episodes</t>
  </si>
  <si>
    <t>Episodes / example-passes proxy; diffusion model (no standard “tokens”)</t>
  </si>
  <si>
    <t>Paper/project page do not provide enough detail (seq length, image tokenization, exact pretraining step count) to convert training into token-positions; diffusion denoising adds extra compute per sample.</t>
  </si>
  <si>
    <t>https://rdt-robotics.github.io/rdt-robotics/ ; https://arxiv.org/abs/2410.07864</t>
  </si>
  <si>
    <t>CogACT (training config)</t>
  </si>
  <si>
    <t>≈7B (paper states similar size to OpenVLA 7B)</t>
  </si>
  <si>
    <t>End-to-end training of vision (DINOv2+SigLIP), language (LLaMA-2), and action modules</t>
  </si>
  <si>
    <t>Batch size 256; 8 diffusion steps/sample; &gt;135k iterations; trained on 16×A100 GPUs for ~5 days</t>
  </si>
  <si>
    <t>Not specified in snippet (depends on data mixture)</t>
  </si>
  <si>
    <t>Example-passes (steps×batch) with diffusion-step multiplier; tokens not reported</t>
  </si>
  <si>
    <t>Example-passes: 135k iterations × batch 256 = 34.56M samples (each uses 8 diffusion steps)</t>
  </si>
  <si>
    <t>Need per-sample tokenization (image tokens, text context length, action horizon) to convert samples into token-positions.</t>
  </si>
  <si>
    <t>https://arxiv.org/html/2411.19650v1</t>
  </si>
  <si>
    <t>SpatialVLA (pretraining config from repo)</t>
  </si>
  <si>
    <t>Not stated in snippet</t>
  </si>
  <si>
    <t>Not stated</t>
  </si>
  <si>
    <t>Pretrained on 64×A100 GPUs for ~10 days; batch size 2048; 1.1M real-robot demonstrations (OXE + RH20T)</t>
  </si>
  <si>
    <t>1.1M demonstrations (OXE + RH20T)</t>
  </si>
  <si>
    <t>Demonstrations + GPU-days (no tokenization reported)</t>
  </si>
  <si>
    <t>Need model size, sequence length (vision tokens, text tokens, action tokens), and number of optimization steps to compute token-positions.</t>
  </si>
  <si>
    <t>https://github.com/SpatialVLA/SpatialVLA ; https://arxiv.org/abs/2501.15830</t>
  </si>
  <si>
    <t>GR-3 (technical report)</t>
  </si>
  <si>
    <t>Paper mentions additional co-training for 20k steps incorporating human trajectories alongside robot trajectories and VL data</t>
  </si>
  <si>
    <t>Robot trajectories + VL data + human trajectories (sizes not in snippet)</t>
  </si>
  <si>
    <t>Training steps proxy (co-training stage)</t>
  </si>
  <si>
    <t>Need model parameter count, global batch size, and tokenization/context details to compute token-positions.</t>
  </si>
  <si>
    <t>https://arxiv.org/abs/2507.15493 ; https://seed.bytedance.com/en/blog/seed-research-gr-3-released-a-generalist-robot-model-for-generalization-long-horizon-tasks-and-bi-manual-deformable-object-manipulation</t>
  </si>
  <si>
    <t>FlowVLA (reported training schedule snippets)</t>
  </si>
  <si>
    <t>LIBERO: world model pretrain 5k steps batch 16; policy finetune 5k steps batch 96. SimplerEnv: pretrain 12k steps batch 32; policy finetune 20k steps batch 128.</t>
  </si>
  <si>
    <t>Benchmarks: LIBERO, SimplerEnv (task suites)</t>
  </si>
  <si>
    <t>Example-passes proxy (steps×batch) for each stage</t>
  </si>
  <si>
    <t>Need model size and per-sample tokenization to convert training to token-positions.</t>
  </si>
  <si>
    <t>https://arxiv.org/html/2508.18269v1</t>
  </si>
  <si>
    <t>UniVLA (latent action model stage-1)</t>
  </si>
  <si>
    <t>Not stated (VQ-VAE latent action model)</t>
  </si>
  <si>
    <t>Stage-1: overall batch size 512; 100k optimization steps (latent action model)</t>
  </si>
  <si>
    <t>Robot manipulation + navigation + human video collection (per repo)</t>
  </si>
  <si>
    <t>Example-passes proxy (steps×batch)</t>
  </si>
  <si>
    <t>Samples processed (stage-1): 100k × 512 = 51.2M</t>
  </si>
  <si>
    <t>Need latent token sequence length and model size to compute token-positions.</t>
  </si>
  <si>
    <t>https://github.com/OpenDriveLab/UniVLA</t>
  </si>
  <si>
    <t>GateFlow / π0.5 (training snippet)</t>
  </si>
  <si>
    <t>Not stated in snippet (pi0.5)</t>
  </si>
  <si>
    <t>Batch size 256 across 8×A100 GPUs for 30k steps; π0.5 action horizon 10 with 7D actions (LIBERO)</t>
  </si>
  <si>
    <t>Joint dataset of four task suites (LIBERO) per snippet</t>
  </si>
  <si>
    <t>Example-passes proxy; can lower-bound action-token slots as horizon×action_dims if discretized (not specified)</t>
  </si>
  <si>
    <t>Samples processed: 30k × 256 = 7.68M</t>
  </si>
  <si>
    <t>Need to know whether actions are discretized into tokens (vs continuous flow/diffusion) and the vision/text context lengths to compute token-positions.</t>
  </si>
  <si>
    <t>https://openreview.net/pdf?id=qOSy2PX4xS</t>
  </si>
  <si>
    <t>OpenVLA-OFT (fine-tuning schedule from VOTE paper)</t>
  </si>
  <si>
    <t>7B (OpenVLA base)</t>
  </si>
  <si>
    <t>Not stated (fine-tuning method)</t>
  </si>
  <si>
    <t>OpenVLA-OFT: 150k training steps on 8×A100 GPUs; per-GPU batch size 8 (global batch 64)</t>
  </si>
  <si>
    <t>Fine-tuning on LIBERO benchmark (per snippet)</t>
  </si>
  <si>
    <t>Example-passes = steps×global_batch (tokens not specified)</t>
  </si>
  <si>
    <t>Samples processed: 150k × 64 = 9.6M</t>
  </si>
  <si>
    <t>Need per-sample sequence length (image/text/action tokens) to compute token-positions.</t>
  </si>
  <si>
    <t>https://openreview.net/pdf?id=jAWveMzE1p</t>
  </si>
  <si>
    <t>Bio -- Seq-to-Structure</t>
  </si>
  <si>
    <t>Avg</t>
  </si>
  <si>
    <t>Tokens / Parameters</t>
  </si>
  <si>
    <t>ProGen3</t>
  </si>
  <si>
    <t>https://www.biorxiv.org/content/10.1101/2025.04.15.649055v1</t>
  </si>
  <si>
    <t>Bio: DNA and PLMs</t>
  </si>
  <si>
    <t>Bio: Virtual Cell</t>
  </si>
  <si>
    <t>Bio: Structural Models</t>
  </si>
  <si>
    <t>Intrinsic Dimension</t>
  </si>
  <si>
    <t>10-20</t>
  </si>
  <si>
    <t>https://arxiv.org/abs/2306.04723</t>
  </si>
  <si>
    <t>5-20</t>
  </si>
  <si>
    <t>https://openreview.net/pdf/3fd0247fe61edc9010f6ee04bbfcb9220d8758b6.pdf</t>
  </si>
  <si>
    <t>https://arxiv.org/pdf/2302.00294</t>
  </si>
  <si>
    <t>https://pmc.ncbi.nlm.nih.gov/articles/PMC6472826/</t>
  </si>
  <si>
    <t>Solved</t>
  </si>
  <si>
    <t>Somewhat</t>
  </si>
  <si>
    <t>100M-1B</t>
  </si>
  <si>
    <t>Not Solved</t>
  </si>
  <si>
    <t>High</t>
  </si>
  <si>
    <t>Medium</t>
  </si>
  <si>
    <t>Low</t>
  </si>
  <si>
    <t xml:space="preserve">https://arxiv.org/pdf/2309.17080 </t>
  </si>
  <si>
    <t>Wayve Gaia 1</t>
  </si>
  <si>
    <t>40T</t>
  </si>
  <si>
    <t>https://huggingface.co/meta-llama/Llama-4-Scout-17B-16E-Instruct</t>
  </si>
  <si>
    <t>https://openreview.net/pdf?id=XJk19XzGq2J</t>
  </si>
  <si>
    <t>https://academic.oup.com/nar/article/doi/10.1093/nar/gkaf805/8245241</t>
  </si>
  <si>
    <t>https://arxiv.org/pdf/2306.01116</t>
  </si>
  <si>
    <t>https://aclanthology.org/2024.acl-long.840.pdf</t>
  </si>
  <si>
    <t>https://papers.neurips.cc/paper_files/paper/2024/file/370df50ccfdf8bde18f8f9c2d9151bda-Paper-Datasets_and_Benchmarks_Track.pdf</t>
  </si>
  <si>
    <t>3-15T</t>
  </si>
  <si>
    <t>https://aclanthology.org/2025.acl-long.123.pdf</t>
  </si>
  <si>
    <t>https://openreview.net/pdf/969b1838ea8ccb4ffbeda9f958828f04656dba03.pdf</t>
  </si>
  <si>
    <t>1-10T</t>
  </si>
  <si>
    <t>https://arxiv.org/html/2410.13720v1</t>
  </si>
  <si>
    <t>https://arxiv.org/html/2511.18870v1</t>
  </si>
  <si>
    <t>https://arxiv.org/html/2502.10248v1</t>
  </si>
  <si>
    <t>https://www.nature.com/articles/s41586-021-03819-2</t>
  </si>
  <si>
    <t>https://pmc.ncbi.nlm.nih.gov/articles/PMC11645889/</t>
  </si>
  <si>
    <t>10B in UniRef50</t>
  </si>
  <si>
    <t>40+</t>
  </si>
  <si>
    <t>200-500B</t>
  </si>
  <si>
    <t>https://pmc.ncbi.nlm.nih.gov/articles/PMC12003772/</t>
  </si>
  <si>
    <t>https://pmc.ncbi.nlm.nih.gov/articles/PMC11370383/</t>
  </si>
  <si>
    <t>https://www.biorxiv.org/content/10.1101/2023.11.28.568918v1</t>
  </si>
  <si>
    <t>https://virtualcellmodels.cziscience.com/model/01966441-339f-77f7-aa06-f67636f865dc</t>
  </si>
  <si>
    <t>https://arcinstitute.org/news/foundation-model-stack</t>
  </si>
  <si>
    <t>https://arxiv.org/pdf/2303.12733</t>
  </si>
  <si>
    <t>https://arxiv.org/abs/2303.09540</t>
  </si>
  <si>
    <t>https://laion.ai/blog/laion-aesthetics/</t>
  </si>
  <si>
    <t>https://ar5iv.labs.arxiv.org/html/2204.06125</t>
  </si>
  <si>
    <t>https://ar5iv.labs.arxiv.org/html/2206.10789</t>
  </si>
  <si>
    <t>1-3T</t>
  </si>
  <si>
    <t>100M</t>
  </si>
  <si>
    <t>Clustered Non-Redundant Public Dataset Size (Tokens)</t>
  </si>
  <si>
    <t>https://chanzuckerberg.github.io/cellxgene-census/cellxgene_census_docsite_data_release_info.html</t>
  </si>
  <si>
    <t>Sources for Clustered Dataset</t>
  </si>
  <si>
    <t>Sources for ID</t>
  </si>
  <si>
    <t>https://www.biorxiv.org/content/10.1101/2025.06.11.658620v1.full.pdf</t>
  </si>
  <si>
    <t>Sources for Optimal Model Size</t>
  </si>
  <si>
    <t>https://arxiv.org/abs/2203.15556</t>
  </si>
  <si>
    <t>https://huggingface.co/datasets/nvidia/PhysicalAI-Autonomous-Vehicles</t>
  </si>
  <si>
    <t>https://openaccess.thecvf.com/content/CVPR2024/papers/Yang_Generalized_Predictive_Model_for_Autonomous_Driving_CVPR_2024_paper.pdf</t>
  </si>
  <si>
    <t>https://bair.berkeley.edu/blog/2018/05/30/bdd/</t>
  </si>
  <si>
    <t>10-200B</t>
  </si>
  <si>
    <t>https://arxiv.org/abs/2510.26125</t>
  </si>
  <si>
    <t>https://ar5iv.org/pdf/2309.17080</t>
  </si>
  <si>
    <t>https://www.notateslaapp.com/software-updates/version/2024.3.25/release-notes</t>
  </si>
  <si>
    <t>https://www.sec.gov/Archives/edgar/data/1867729/000117184325001490/exh_991.htm</t>
  </si>
  <si>
    <t>Semi-Relevant Lower Quality Public Datasets (Tokens)</t>
  </si>
  <si>
    <t>https://huggingface.co/datasets/builddotai/Egocentric-10K</t>
  </si>
  <si>
    <t>Sources for larger dataset</t>
  </si>
  <si>
    <t>100M-1B action tokens + 30B robot visual tokens</t>
  </si>
  <si>
    <t>https://www.roboticsproceedings.org/rss20/p120.pdf</t>
  </si>
  <si>
    <t>https://arxiv.org/html/2310.08864v4</t>
  </si>
  <si>
    <t>https://bridgedata-v2.github.io/</t>
  </si>
  <si>
    <t>https://rh20t.github.io/static/RH20T_paper_compressed.pdf</t>
  </si>
  <si>
    <t>https://www.tensorflow.org/datasets/catalog/robonet</t>
  </si>
  <si>
    <t>https://openaccess.thecvf.com/content_ICCV_2019/papers/Miech_HowTo100M_Learning_a_Text-Video_Embedding_by_Watching_Hundred_Million_Narrated_ICCV_2019_paper.pdf</t>
  </si>
  <si>
    <t>30-500B: all cell atlases</t>
  </si>
  <si>
    <t>40T: including YouTube</t>
  </si>
  <si>
    <t>Approximate Optimal Model Size</t>
  </si>
  <si>
    <t>Very Low</t>
  </si>
  <si>
    <t>10-40</t>
  </si>
  <si>
    <t>https://arxiv.org/pdf/2008.04431</t>
  </si>
  <si>
    <t>Dataset Information Density (noise, sparsity, % relevant samples, quality)</t>
  </si>
  <si>
    <t>200M</t>
  </si>
  <si>
    <t>Median Model Token / Parameter Ratio</t>
  </si>
  <si>
    <t xml:space="preserve">10B </t>
  </si>
  <si>
    <t>10M</t>
  </si>
  <si>
    <t>Video data</t>
  </si>
  <si>
    <t>https://www.uniprot.org/help/uniref</t>
  </si>
  <si>
    <t>https://docs.mgnify.org/src/docs/mgnify-proteins.html</t>
  </si>
  <si>
    <t>500B: UniRef100 + Mgnify</t>
  </si>
  <si>
    <t>30-300M in PDB +          10B MSAs from UniRef50</t>
  </si>
  <si>
    <t>250B: egocentric task video  3T: task demo videos        40T: YouTube</t>
  </si>
  <si>
    <t>"Scaling World Model Pretraining" by Sherry Yang, Manuscript in Preparation but graph from presentation at World Models Conference</t>
  </si>
  <si>
    <t>Noise MSE</t>
  </si>
  <si>
    <t>Sherry Yang</t>
  </si>
  <si>
    <t>Median Scaling Law Coefficient</t>
  </si>
  <si>
    <t>3.17%*</t>
  </si>
  <si>
    <t>39.61%*</t>
  </si>
  <si>
    <t>https://arxiv.org/abs/2603.03276</t>
  </si>
  <si>
    <t>Beyond Language Modeling: An Exploration of Multimodal Pretraining</t>
  </si>
  <si>
    <t>Weather</t>
  </si>
  <si>
    <t>https://arxiv.org/abs/2602.22962?utm_source=chatgpt.com</t>
  </si>
  <si>
    <t>Scaling Laws of Global Weather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</si>
</sst>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sz val="12"/>
      <color theme="1"/>
      <name val="EB Garamond Regular Roman"/>
    </font>
    <font>
      <b/>
      <sz val="12"/>
      <color theme="1"/>
      <name val="EB Garamond Regular Roman"/>
    </font>
    <font>
      <b/>
      <sz val="12"/>
      <color theme="0"/>
      <name val="EB Garamond Regular Roman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1"/>
    <xf numFmtId="0" fontId="1" fillId="0" borderId="0" xfId="0" applyFont="1"/>
    <xf numFmtId="17" fontId="0" fillId="0" borderId="0" xfId="0" applyNumberFormat="1"/>
    <xf numFmtId="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3" fillId="0" borderId="0" xfId="0" applyFont="1"/>
    <xf numFmtId="0" fontId="4" fillId="0" borderId="0" xfId="0" applyFont="1"/>
    <xf numFmtId="10" fontId="0" fillId="0" borderId="0" xfId="2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2" applyFont="1"/>
    <xf numFmtId="10" fontId="3" fillId="0" borderId="0" xfId="0" applyNumberFormat="1" applyFont="1"/>
    <xf numFmtId="9" fontId="0" fillId="0" borderId="0" xfId="2" applyFont="1" applyAlignment="1">
      <alignment horizontal="left"/>
    </xf>
    <xf numFmtId="9" fontId="0" fillId="0" borderId="2" xfId="2" applyFont="1" applyBorder="1"/>
    <xf numFmtId="9" fontId="0" fillId="0" borderId="0" xfId="2" applyFont="1" applyBorder="1"/>
    <xf numFmtId="0" fontId="6" fillId="0" borderId="3" xfId="0" applyFont="1" applyBorder="1" applyAlignment="1">
      <alignment horizontal="center" vertical="top"/>
    </xf>
    <xf numFmtId="1" fontId="0" fillId="0" borderId="0" xfId="0" applyNumberFormat="1"/>
    <xf numFmtId="0" fontId="0" fillId="0" borderId="4" xfId="0" applyBorder="1"/>
    <xf numFmtId="0" fontId="2" fillId="0" borderId="4" xfId="1" applyBorder="1"/>
    <xf numFmtId="1" fontId="3" fillId="0" borderId="0" xfId="0" applyNumberFormat="1" applyFont="1"/>
    <xf numFmtId="0" fontId="7" fillId="0" borderId="0" xfId="0" applyFont="1"/>
    <xf numFmtId="3" fontId="0" fillId="0" borderId="0" xfId="0" applyNumberFormat="1"/>
    <xf numFmtId="11" fontId="0" fillId="0" borderId="0" xfId="0" applyNumberFormat="1"/>
    <xf numFmtId="3" fontId="4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3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1" fillId="0" borderId="0" xfId="0" applyFont="1"/>
    <xf numFmtId="0" fontId="13" fillId="0" borderId="0" xfId="0" applyFont="1"/>
    <xf numFmtId="1" fontId="12" fillId="0" borderId="0" xfId="0" applyNumberFormat="1" applyFont="1"/>
    <xf numFmtId="0" fontId="13" fillId="0" borderId="0" xfId="0" applyFont="1" applyAlignment="1">
      <alignment horizontal="left" indent="1"/>
    </xf>
    <xf numFmtId="0" fontId="12" fillId="2" borderId="0" xfId="0" applyFont="1" applyFill="1"/>
    <xf numFmtId="0" fontId="14" fillId="2" borderId="0" xfId="0" applyFont="1" applyFill="1" applyAlignment="1">
      <alignment horizontal="right"/>
    </xf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2" fontId="12" fillId="0" borderId="0" xfId="0" quotePrefix="1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" fontId="12" fillId="0" borderId="0" xfId="0" quotePrefix="1" applyNumberFormat="1" applyFont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4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_xlchart.v1.0</cx:f>
      </cx:numDim>
    </cx:data>
  </cx:chartData>
  <cx:chart>
    <cx:title pos="t" align="ctr" overlay="0">
      <cx:tx>
        <cx:txData>
          <cx:v>Expected Loss Reduction from 10x Scaling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EB GARAMOND REGULAR ROMAN" pitchFamily="2" charset="0"/>
              <a:ea typeface="EB GARAMOND REGULAR ROMAN" pitchFamily="2" charset="0"/>
              <a:cs typeface="EB GARAMOND REGULAR ROMAN" pitchFamily="2" charset="0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EB GARAMOND REGULAR ROMAN" pitchFamily="2" charset="0"/>
              <a:ea typeface="EB GARAMOND REGULAR ROMAN" pitchFamily="2" charset="0"/>
              <a:cs typeface="EB GARAMOND REGULAR ROMAN" pitchFamily="2" charset="0"/>
            </a:rPr>
            <a:t>Expected Loss Reduction from 10x Scaling</a:t>
          </a:r>
        </a:p>
      </cx:txPr>
    </cx:title>
    <cx:plotArea>
      <cx:plotAreaRegion>
        <cx:series layoutId="boxWhisker" uniqueId="{94FF5C88-4C0E-CD41-A97C-3990298F42D8}">
          <cx:tx>
            <cx:txData>
              <cx:f/>
              <cx:v>Language &amp; Image</cx:v>
            </cx:txData>
          </cx:tx>
          <cx:dataId val="0"/>
          <cx:layoutPr>
            <cx:statistics quartileMethod="exclusive"/>
          </cx:layoutPr>
        </cx:series>
        <cx:series layoutId="boxWhisker" uniqueId="{00000001-D83D-3B4C-B86A-AD7761F8B3AF}">
          <cx:tx>
            <cx:txData>
              <cx:f/>
              <cx:v>Robotics &amp; Bio</cx:v>
            </cx:txData>
          </cx:tx>
          <cx:dataId val="1"/>
          <cx:layoutPr>
            <cx:visibility meanLine="1"/>
            <cx:statistics quartileMethod="exclusive"/>
          </cx:layoutPr>
        </cx:series>
      </cx:plotAreaRegion>
      <cx:axis id="0" hidden="1">
        <cx:catScaling/>
        <cx:tickLabels/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EB GARAMOND REGULAR ROMAN" pitchFamily="2" charset="0"/>
                <a:ea typeface="EB GARAMOND REGULAR ROMAN" pitchFamily="2" charset="0"/>
                <a:cs typeface="EB GARAMOND REGULAR ROMAN" pitchFamily="2" charset="0"/>
              </a:defRPr>
            </a:pPr>
            <a:endParaRPr lang="en-US"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EB GARAMOND REGULAR ROMAN" pitchFamily="2" charset="0"/>
              <a:ea typeface="EB GARAMOND REGULAR ROMAN" pitchFamily="2" charset="0"/>
              <a:cs typeface="EB GARAMOND REGULAR ROMAN" pitchFamily="2" charset="0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EB GARAMOND REGULAR ROMAN" pitchFamily="2" charset="0"/>
              <a:ea typeface="EB GARAMOND REGULAR ROMAN" pitchFamily="2" charset="0"/>
              <a:cs typeface="EB GARAMOND REGULAR ROMAN" pitchFamily="2" charset="0"/>
            </a:defRPr>
          </a:pPr>
          <a:endParaRPr lang="en-US" sz="900" b="0" i="0" u="none" strike="noStrike" kern="1200" baseline="0">
            <a:solidFill>
              <a:sysClr val="windowText" lastClr="000000">
                <a:lumMod val="65000"/>
                <a:lumOff val="35000"/>
              </a:sysClr>
            </a:solidFill>
            <a:latin typeface="EB GARAMOND REGULAR ROMAN" pitchFamily="2" charset="0"/>
            <a:ea typeface="EB GARAMOND REGULAR ROMAN" pitchFamily="2" charset="0"/>
            <a:cs typeface="EB GARAMOND REGULAR ROMAN" pitchFamily="2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90</xdr:row>
      <xdr:rowOff>190500</xdr:rowOff>
    </xdr:from>
    <xdr:to>
      <xdr:col>4</xdr:col>
      <xdr:colOff>660400</xdr:colOff>
      <xdr:row>104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C0C794D-17B8-3E70-C08D-D28AAAB02D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400" y="17868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watch?v=7Gyuar7nMz0" TargetMode="External"/><Relationship Id="rId1" Type="http://schemas.openxmlformats.org/officeDocument/2006/relationships/hyperlink" Target="https://arxiv.org/pdf/2309.1708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html/2406.11704v1/" TargetMode="External"/><Relationship Id="rId13" Type="http://schemas.openxmlformats.org/officeDocument/2006/relationships/hyperlink" Target="https://arxiv.org/pdf/2412.19437" TargetMode="External"/><Relationship Id="rId18" Type="http://schemas.openxmlformats.org/officeDocument/2006/relationships/hyperlink" Target="https://developer.nvidia.com/blog/optimizing-openfold-training-for-drug-discovery/" TargetMode="External"/><Relationship Id="rId3" Type="http://schemas.openxmlformats.org/officeDocument/2006/relationships/hyperlink" Target="https://arxiv.org/abs/2311.16867" TargetMode="External"/><Relationship Id="rId21" Type="http://schemas.openxmlformats.org/officeDocument/2006/relationships/hyperlink" Target="https://arxiv.org/pdf/2211.00235" TargetMode="External"/><Relationship Id="rId7" Type="http://schemas.openxmlformats.org/officeDocument/2006/relationships/hyperlink" Target="https://ai.meta.com/blog/meta-llama-3-1/?utm_source=chatgpt.com" TargetMode="External"/><Relationship Id="rId12" Type="http://schemas.openxmlformats.org/officeDocument/2006/relationships/hyperlink" Target="https://arxiv.org/abs/2405.04434" TargetMode="External"/><Relationship Id="rId17" Type="http://schemas.openxmlformats.org/officeDocument/2006/relationships/hyperlink" Target="https://www.nature.com/articles/s41467-024-51776-x?utm_source=chatgpt.com" TargetMode="External"/><Relationship Id="rId2" Type="http://schemas.openxmlformats.org/officeDocument/2006/relationships/hyperlink" Target="https://huggingface.co/meta-llama/Llama-2-70b" TargetMode="External"/><Relationship Id="rId16" Type="http://schemas.openxmlformats.org/officeDocument/2006/relationships/hyperlink" Target="https://static-content.springer.com/esm/art%3A10.1038%2Fs41586-024-07487-w/MediaObjects/41586_2024_7487_MOESM1_ESM.pdf" TargetMode="External"/><Relationship Id="rId20" Type="http://schemas.openxmlformats.org/officeDocument/2006/relationships/hyperlink" Target="https://arxiv.org/pdf/2211.00235" TargetMode="External"/><Relationship Id="rId1" Type="http://schemas.openxmlformats.org/officeDocument/2006/relationships/hyperlink" Target="https://ar5iv.org/pdf/2302.13971" TargetMode="External"/><Relationship Id="rId6" Type="http://schemas.openxmlformats.org/officeDocument/2006/relationships/hyperlink" Target="https://huggingface.co/meta-llama/Meta-Llama-3-70B?utm_source=chatgpt.com" TargetMode="External"/><Relationship Id="rId11" Type="http://schemas.openxmlformats.org/officeDocument/2006/relationships/hyperlink" Target="https://www.databricks.com/blog/introducing-dbrx-new-state-art-open-llm" TargetMode="External"/><Relationship Id="rId5" Type="http://schemas.openxmlformats.org/officeDocument/2006/relationships/hyperlink" Target="https://arxiv.org/html/2407.10671v1" TargetMode="External"/><Relationship Id="rId15" Type="http://schemas.openxmlformats.org/officeDocument/2006/relationships/hyperlink" Target="https://pmc.ncbi.nlm.nih.gov/articles/PMC11645889/" TargetMode="External"/><Relationship Id="rId10" Type="http://schemas.openxmlformats.org/officeDocument/2006/relationships/hyperlink" Target="https://arxiv.org/html/2505.09388v1" TargetMode="External"/><Relationship Id="rId19" Type="http://schemas.openxmlformats.org/officeDocument/2006/relationships/hyperlink" Target="https://developer.nvidia.com/blog/optimizing-openfold-training-for-drug-discovery/" TargetMode="External"/><Relationship Id="rId4" Type="http://schemas.openxmlformats.org/officeDocument/2006/relationships/hyperlink" Target="https://github.com/QwenLM/Qwen" TargetMode="External"/><Relationship Id="rId9" Type="http://schemas.openxmlformats.org/officeDocument/2006/relationships/hyperlink" Target="https://www.alibabacloud.com/help/en/model-studio/what-is-qwen-llm" TargetMode="External"/><Relationship Id="rId14" Type="http://schemas.openxmlformats.org/officeDocument/2006/relationships/hyperlink" Target="https://medium.com/the-thought-collection/gemma-2-27b-the-ai-already-bettter-than-chat-gpt-4o-f696b28060be" TargetMode="External"/><Relationship Id="rId22" Type="http://schemas.openxmlformats.org/officeDocument/2006/relationships/hyperlink" Target="https://pmc.ncbi.nlm.nih.gov/articles/PMC109901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F185-C15A-504C-BB4B-6B33B2F560F8}">
  <dimension ref="A1:AB180"/>
  <sheetViews>
    <sheetView tabSelected="1" topLeftCell="A54" zoomScale="114" workbookViewId="0">
      <selection activeCell="D84" sqref="D84"/>
    </sheetView>
  </sheetViews>
  <sheetFormatPr baseColWidth="10" defaultRowHeight="16"/>
  <cols>
    <col min="1" max="4" width="14.1640625" customWidth="1"/>
    <col min="5" max="5" width="17.83203125" customWidth="1"/>
    <col min="6" max="8" width="10.83203125" customWidth="1"/>
  </cols>
  <sheetData>
    <row r="1" spans="1:28">
      <c r="B1" t="s">
        <v>263</v>
      </c>
      <c r="C1" t="s">
        <v>271</v>
      </c>
      <c r="D1" t="s">
        <v>233</v>
      </c>
      <c r="E1" t="s">
        <v>348</v>
      </c>
      <c r="F1" s="50" t="s">
        <v>282</v>
      </c>
      <c r="G1" s="51"/>
      <c r="H1" s="51"/>
      <c r="I1" s="50" t="s">
        <v>238</v>
      </c>
      <c r="J1" s="51"/>
      <c r="K1" s="50" t="s">
        <v>115</v>
      </c>
      <c r="L1" s="51"/>
      <c r="M1" s="51"/>
    </row>
    <row r="2" spans="1:28">
      <c r="F2" t="s">
        <v>116</v>
      </c>
      <c r="G2" t="s">
        <v>117</v>
      </c>
      <c r="H2" t="s">
        <v>129</v>
      </c>
      <c r="I2" t="s">
        <v>0</v>
      </c>
      <c r="J2" t="s">
        <v>1</v>
      </c>
      <c r="K2" t="s">
        <v>116</v>
      </c>
      <c r="L2" t="s">
        <v>117</v>
      </c>
      <c r="M2" t="s">
        <v>129</v>
      </c>
      <c r="N2" t="s">
        <v>6</v>
      </c>
      <c r="O2" t="s">
        <v>119</v>
      </c>
      <c r="P2" t="s">
        <v>118</v>
      </c>
      <c r="Q2" t="s">
        <v>120</v>
      </c>
      <c r="R2" t="s">
        <v>121</v>
      </c>
      <c r="S2" t="s">
        <v>127</v>
      </c>
      <c r="T2" t="s">
        <v>128</v>
      </c>
      <c r="U2" t="s">
        <v>168</v>
      </c>
      <c r="V2" t="s">
        <v>169</v>
      </c>
      <c r="W2" t="s">
        <v>172</v>
      </c>
      <c r="X2" t="s">
        <v>173</v>
      </c>
      <c r="Y2" t="s">
        <v>174</v>
      </c>
      <c r="Z2" t="s">
        <v>175</v>
      </c>
      <c r="AA2" t="s">
        <v>176</v>
      </c>
      <c r="AB2" t="s">
        <v>177</v>
      </c>
    </row>
    <row r="3" spans="1:28">
      <c r="A3" s="5" t="s">
        <v>19</v>
      </c>
      <c r="B3" t="s">
        <v>304</v>
      </c>
      <c r="C3" t="s">
        <v>305</v>
      </c>
      <c r="D3" t="s">
        <v>264</v>
      </c>
      <c r="E3" t="s">
        <v>8</v>
      </c>
      <c r="F3" s="10">
        <f t="shared" ref="F3:H46" si="0">IF(K3="", "",(1-10^K3))</f>
        <v>0.10463523445040623</v>
      </c>
      <c r="G3" s="10">
        <f t="shared" si="0"/>
        <v>0.16054001348060265</v>
      </c>
      <c r="H3" s="10">
        <f t="shared" si="0"/>
        <v>0.19647387781438286</v>
      </c>
      <c r="I3">
        <v>0.73</v>
      </c>
      <c r="J3">
        <v>0.27</v>
      </c>
      <c r="K3">
        <v>-4.8000000000000001E-2</v>
      </c>
      <c r="L3">
        <v>-7.5999999999999998E-2</v>
      </c>
      <c r="M3">
        <v>-9.5000000000000001E-2</v>
      </c>
      <c r="N3" s="1" t="s">
        <v>23</v>
      </c>
      <c r="W3" t="s">
        <v>178</v>
      </c>
      <c r="X3" t="s">
        <v>179</v>
      </c>
      <c r="Y3" t="s">
        <v>180</v>
      </c>
      <c r="Z3" t="s">
        <v>181</v>
      </c>
      <c r="AA3" t="s">
        <v>182</v>
      </c>
      <c r="AB3" t="s">
        <v>183</v>
      </c>
    </row>
    <row r="4" spans="1:28">
      <c r="A4" t="s">
        <v>19</v>
      </c>
      <c r="B4" t="s">
        <v>304</v>
      </c>
      <c r="C4" t="s">
        <v>305</v>
      </c>
      <c r="D4" t="s">
        <v>264</v>
      </c>
      <c r="E4" t="s">
        <v>9</v>
      </c>
      <c r="F4" s="10" t="str">
        <f t="shared" si="0"/>
        <v/>
      </c>
      <c r="G4" s="10">
        <f t="shared" si="0"/>
        <v>0.54185811328546651</v>
      </c>
      <c r="H4" s="10">
        <f t="shared" si="0"/>
        <v>0.48119996107103891</v>
      </c>
      <c r="I4">
        <v>0.5</v>
      </c>
      <c r="J4">
        <v>0.5</v>
      </c>
      <c r="L4">
        <v>-0.33900000000000002</v>
      </c>
      <c r="M4">
        <v>-0.28499999999999998</v>
      </c>
      <c r="N4" s="1" t="s">
        <v>22</v>
      </c>
      <c r="W4" t="s">
        <v>184</v>
      </c>
      <c r="X4" t="s">
        <v>185</v>
      </c>
      <c r="Y4" t="s">
        <v>186</v>
      </c>
      <c r="AA4" t="s">
        <v>182</v>
      </c>
      <c r="AB4" t="s">
        <v>187</v>
      </c>
    </row>
    <row r="5" spans="1:28">
      <c r="A5" t="s">
        <v>19</v>
      </c>
      <c r="B5" t="s">
        <v>304</v>
      </c>
      <c r="C5" t="s">
        <v>305</v>
      </c>
      <c r="D5" t="s">
        <v>264</v>
      </c>
      <c r="E5" t="s">
        <v>166</v>
      </c>
      <c r="F5" s="10">
        <f t="shared" si="0"/>
        <v>0.21113988238144554</v>
      </c>
      <c r="G5" s="10" t="str">
        <f t="shared" si="0"/>
        <v/>
      </c>
      <c r="H5" s="10" t="str">
        <f t="shared" si="0"/>
        <v/>
      </c>
      <c r="I5">
        <v>0.52</v>
      </c>
      <c r="J5">
        <v>0.48</v>
      </c>
      <c r="K5">
        <v>-0.10299999999999999</v>
      </c>
      <c r="N5" s="1" t="s">
        <v>167</v>
      </c>
    </row>
    <row r="6" spans="1:28">
      <c r="A6" t="s">
        <v>19</v>
      </c>
      <c r="B6" t="s">
        <v>304</v>
      </c>
      <c r="C6" t="s">
        <v>305</v>
      </c>
      <c r="D6" t="s">
        <v>264</v>
      </c>
      <c r="E6" t="s">
        <v>223</v>
      </c>
      <c r="F6" s="10" t="str">
        <f t="shared" si="0"/>
        <v/>
      </c>
      <c r="G6" s="10">
        <f t="shared" si="0"/>
        <v>0.55639135606856749</v>
      </c>
      <c r="H6" s="10">
        <f t="shared" si="0"/>
        <v>0.55639135606856749</v>
      </c>
      <c r="L6">
        <v>-0.35299999999999998</v>
      </c>
      <c r="M6">
        <v>-0.35299999999999998</v>
      </c>
      <c r="N6" s="1" t="s">
        <v>221</v>
      </c>
    </row>
    <row r="7" spans="1:28">
      <c r="A7" t="s">
        <v>19</v>
      </c>
      <c r="B7" t="s">
        <v>304</v>
      </c>
      <c r="C7" t="s">
        <v>305</v>
      </c>
      <c r="D7" t="s">
        <v>264</v>
      </c>
      <c r="E7" t="s">
        <v>224</v>
      </c>
      <c r="F7" s="10" t="str">
        <f t="shared" si="0"/>
        <v/>
      </c>
      <c r="G7" s="10">
        <f t="shared" si="0"/>
        <v>0.32391702460801819</v>
      </c>
      <c r="H7" s="10">
        <f t="shared" si="0"/>
        <v>0.41115634464441109</v>
      </c>
      <c r="L7">
        <v>-0.17</v>
      </c>
      <c r="M7">
        <v>-0.23</v>
      </c>
      <c r="N7" s="1" t="s">
        <v>222</v>
      </c>
    </row>
    <row r="8" spans="1:28">
      <c r="A8" t="s">
        <v>19</v>
      </c>
      <c r="B8" t="s">
        <v>306</v>
      </c>
      <c r="C8" t="s">
        <v>305</v>
      </c>
      <c r="D8" t="s">
        <v>264</v>
      </c>
      <c r="E8" t="s">
        <v>214</v>
      </c>
      <c r="F8" s="10" t="str">
        <f t="shared" si="0"/>
        <v/>
      </c>
      <c r="G8" s="10">
        <f t="shared" si="0"/>
        <v>0.58313061652966458</v>
      </c>
      <c r="H8" s="10">
        <f t="shared" si="0"/>
        <v>0.339306551992404</v>
      </c>
      <c r="L8">
        <v>-0.38</v>
      </c>
      <c r="M8">
        <v>-0.18</v>
      </c>
      <c r="N8" s="6" t="s">
        <v>215</v>
      </c>
      <c r="S8" t="s">
        <v>213</v>
      </c>
      <c r="W8" t="s">
        <v>197</v>
      </c>
      <c r="X8" t="s">
        <v>198</v>
      </c>
      <c r="Y8" t="s">
        <v>199</v>
      </c>
      <c r="AA8" t="s">
        <v>200</v>
      </c>
      <c r="AB8" t="s">
        <v>201</v>
      </c>
    </row>
    <row r="9" spans="1:28">
      <c r="A9" t="s">
        <v>19</v>
      </c>
      <c r="B9" t="s">
        <v>304</v>
      </c>
      <c r="C9" t="s">
        <v>305</v>
      </c>
      <c r="D9" t="s">
        <v>264</v>
      </c>
      <c r="E9" t="s">
        <v>216</v>
      </c>
      <c r="F9" s="10">
        <f t="shared" si="0"/>
        <v>9.0086727367748476E-2</v>
      </c>
      <c r="G9" s="10" t="str">
        <f t="shared" si="0"/>
        <v/>
      </c>
      <c r="H9" s="10" t="str">
        <f t="shared" si="0"/>
        <v/>
      </c>
      <c r="K9">
        <v>-4.1000000000000002E-2</v>
      </c>
      <c r="N9" s="6" t="s">
        <v>217</v>
      </c>
      <c r="S9" t="s">
        <v>213</v>
      </c>
      <c r="W9" t="s">
        <v>202</v>
      </c>
      <c r="X9" t="s">
        <v>203</v>
      </c>
      <c r="Y9" t="s">
        <v>204</v>
      </c>
      <c r="Z9" t="s">
        <v>205</v>
      </c>
      <c r="AA9" t="s">
        <v>206</v>
      </c>
      <c r="AB9" t="s">
        <v>207</v>
      </c>
    </row>
    <row r="10" spans="1:28">
      <c r="A10" t="s">
        <v>19</v>
      </c>
      <c r="B10" t="s">
        <v>304</v>
      </c>
      <c r="C10" t="s">
        <v>305</v>
      </c>
      <c r="D10" t="s">
        <v>264</v>
      </c>
      <c r="E10" t="s">
        <v>218</v>
      </c>
      <c r="F10" s="10" t="str">
        <f t="shared" si="0"/>
        <v/>
      </c>
      <c r="G10" s="10" t="str">
        <f t="shared" si="0"/>
        <v/>
      </c>
      <c r="H10" s="10" t="str">
        <f t="shared" si="0"/>
        <v/>
      </c>
      <c r="N10" s="6" t="s">
        <v>219</v>
      </c>
      <c r="S10" t="s">
        <v>220</v>
      </c>
      <c r="W10" t="s">
        <v>208</v>
      </c>
      <c r="X10" t="s">
        <v>209</v>
      </c>
      <c r="Y10" t="s">
        <v>210</v>
      </c>
      <c r="AA10" t="s">
        <v>211</v>
      </c>
      <c r="AB10" t="s">
        <v>212</v>
      </c>
    </row>
    <row r="11" spans="1:28">
      <c r="A11" t="s">
        <v>19</v>
      </c>
      <c r="B11" t="s">
        <v>306</v>
      </c>
      <c r="C11" t="s">
        <v>305</v>
      </c>
      <c r="D11" t="s">
        <v>264</v>
      </c>
      <c r="E11" t="s">
        <v>235</v>
      </c>
      <c r="F11" s="10" t="str">
        <f t="shared" si="0"/>
        <v/>
      </c>
      <c r="G11" s="10">
        <f t="shared" si="0"/>
        <v>0.29205421561586209</v>
      </c>
      <c r="H11" s="10" t="str">
        <f t="shared" si="0"/>
        <v/>
      </c>
      <c r="L11">
        <v>-0.15</v>
      </c>
      <c r="N11" s="1" t="s">
        <v>234</v>
      </c>
    </row>
    <row r="12" spans="1:28">
      <c r="A12" t="s">
        <v>19</v>
      </c>
      <c r="B12" t="s">
        <v>307</v>
      </c>
      <c r="C12" t="s">
        <v>305</v>
      </c>
      <c r="D12" t="s">
        <v>264</v>
      </c>
      <c r="E12" t="s">
        <v>239</v>
      </c>
      <c r="F12" s="10" t="str">
        <f t="shared" si="0"/>
        <v/>
      </c>
      <c r="G12" s="10">
        <f t="shared" si="0"/>
        <v>0.48713861600863517</v>
      </c>
      <c r="H12" s="10" t="str">
        <f t="shared" si="0"/>
        <v/>
      </c>
      <c r="L12">
        <v>-0.28999999999999998</v>
      </c>
      <c r="N12" s="1" t="s">
        <v>240</v>
      </c>
    </row>
    <row r="13" spans="1:28">
      <c r="A13" t="s">
        <v>19</v>
      </c>
      <c r="B13" t="s">
        <v>307</v>
      </c>
      <c r="C13" t="s">
        <v>305</v>
      </c>
      <c r="D13" t="s">
        <v>264</v>
      </c>
      <c r="E13" t="s">
        <v>244</v>
      </c>
      <c r="F13" s="10" t="str">
        <f t="shared" si="0"/>
        <v/>
      </c>
      <c r="G13" s="10">
        <f t="shared" si="0"/>
        <v>0.22375288337130828</v>
      </c>
      <c r="H13" s="10">
        <f t="shared" si="0"/>
        <v>0.58313061652966458</v>
      </c>
      <c r="L13">
        <v>-0.11</v>
      </c>
      <c r="M13">
        <v>-0.38</v>
      </c>
      <c r="N13" s="1" t="s">
        <v>245</v>
      </c>
      <c r="Q13">
        <v>21.62</v>
      </c>
      <c r="R13">
        <v>13.81</v>
      </c>
      <c r="S13" t="s">
        <v>241</v>
      </c>
      <c r="T13" t="s">
        <v>242</v>
      </c>
      <c r="AB13" t="s">
        <v>243</v>
      </c>
    </row>
    <row r="14" spans="1:28">
      <c r="A14" t="s">
        <v>19</v>
      </c>
      <c r="B14" t="s">
        <v>307</v>
      </c>
      <c r="C14" t="s">
        <v>305</v>
      </c>
      <c r="D14" t="s">
        <v>264</v>
      </c>
      <c r="E14" t="s">
        <v>247</v>
      </c>
      <c r="F14" s="10" t="str">
        <f t="shared" si="0"/>
        <v/>
      </c>
      <c r="G14" s="10" t="str">
        <f t="shared" si="0"/>
        <v/>
      </c>
      <c r="H14" s="10">
        <f t="shared" si="0"/>
        <v>0.46296820362974733</v>
      </c>
      <c r="I14" s="12"/>
      <c r="M14">
        <v>-0.27</v>
      </c>
      <c r="N14" s="1" t="s">
        <v>246</v>
      </c>
    </row>
    <row r="15" spans="1:28">
      <c r="A15" t="s">
        <v>19</v>
      </c>
      <c r="B15" t="s">
        <v>307</v>
      </c>
      <c r="C15" t="s">
        <v>305</v>
      </c>
      <c r="D15" t="s">
        <v>264</v>
      </c>
      <c r="E15" t="s">
        <v>251</v>
      </c>
      <c r="F15" s="10" t="str">
        <f t="shared" si="0"/>
        <v/>
      </c>
      <c r="G15" s="10" t="str">
        <f t="shared" si="0"/>
        <v/>
      </c>
      <c r="H15" s="10">
        <f t="shared" si="0"/>
        <v>0.43765867480965093</v>
      </c>
      <c r="M15">
        <v>-0.25</v>
      </c>
      <c r="N15" s="1" t="s">
        <v>246</v>
      </c>
      <c r="S15" t="s">
        <v>252</v>
      </c>
      <c r="T15" t="s">
        <v>253</v>
      </c>
      <c r="AB15" t="s">
        <v>254</v>
      </c>
    </row>
    <row r="16" spans="1:28">
      <c r="A16" t="s">
        <v>19</v>
      </c>
      <c r="D16" t="s">
        <v>264</v>
      </c>
      <c r="E16" t="s">
        <v>903</v>
      </c>
      <c r="F16" s="10"/>
      <c r="G16" s="10"/>
      <c r="H16" s="10"/>
      <c r="I16">
        <v>0.47</v>
      </c>
      <c r="J16">
        <v>0.53</v>
      </c>
      <c r="N16" s="1" t="s">
        <v>902</v>
      </c>
    </row>
    <row r="17" spans="1:28">
      <c r="A17" t="s">
        <v>161</v>
      </c>
      <c r="B17" t="s">
        <v>308</v>
      </c>
      <c r="C17" t="s">
        <v>305</v>
      </c>
      <c r="D17" t="s">
        <v>264</v>
      </c>
      <c r="E17" t="s">
        <v>250</v>
      </c>
      <c r="F17" s="10" t="str">
        <f t="shared" si="0"/>
        <v/>
      </c>
      <c r="G17" s="10" t="str">
        <f t="shared" si="0"/>
        <v/>
      </c>
      <c r="H17" s="10" t="str">
        <f t="shared" si="0"/>
        <v/>
      </c>
      <c r="I17" s="7"/>
      <c r="N17" s="1" t="s">
        <v>249</v>
      </c>
    </row>
    <row r="18" spans="1:28">
      <c r="A18" t="s">
        <v>161</v>
      </c>
      <c r="B18" t="s">
        <v>308</v>
      </c>
      <c r="C18" t="s">
        <v>305</v>
      </c>
      <c r="D18" t="s">
        <v>264</v>
      </c>
      <c r="E18" t="s">
        <v>162</v>
      </c>
      <c r="F18" s="10" t="str">
        <f t="shared" si="0"/>
        <v/>
      </c>
      <c r="G18" s="10">
        <f t="shared" si="0"/>
        <v>0.25868975869908262</v>
      </c>
      <c r="H18" s="10" t="str">
        <f t="shared" si="0"/>
        <v/>
      </c>
      <c r="L18">
        <v>-0.13</v>
      </c>
      <c r="N18" s="1" t="s">
        <v>163</v>
      </c>
    </row>
    <row r="19" spans="1:28">
      <c r="A19" t="s">
        <v>161</v>
      </c>
      <c r="B19" t="s">
        <v>308</v>
      </c>
      <c r="C19" t="s">
        <v>305</v>
      </c>
      <c r="D19" t="s">
        <v>264</v>
      </c>
      <c r="E19" t="s">
        <v>248</v>
      </c>
      <c r="F19" s="10">
        <f t="shared" si="0"/>
        <v>0.339306551992404</v>
      </c>
      <c r="G19" s="10">
        <f t="shared" si="0"/>
        <v>0.66886887851740895</v>
      </c>
      <c r="H19" s="10">
        <f t="shared" si="0"/>
        <v>0.48713861600863517</v>
      </c>
      <c r="K19">
        <v>-0.18</v>
      </c>
      <c r="L19">
        <v>-0.48</v>
      </c>
      <c r="M19">
        <v>-0.28999999999999998</v>
      </c>
      <c r="N19" s="1" t="s">
        <v>232</v>
      </c>
    </row>
    <row r="20" spans="1:28">
      <c r="A20" t="s">
        <v>20</v>
      </c>
      <c r="B20" t="s">
        <v>309</v>
      </c>
      <c r="C20" t="s">
        <v>305</v>
      </c>
      <c r="D20" t="s">
        <v>264</v>
      </c>
      <c r="E20" t="s">
        <v>21</v>
      </c>
      <c r="F20" s="10">
        <f t="shared" si="0"/>
        <v>0.30816902908106347</v>
      </c>
      <c r="G20" s="10">
        <f t="shared" si="0"/>
        <v>0.32391702460801819</v>
      </c>
      <c r="H20" s="10" t="str">
        <f t="shared" si="0"/>
        <v/>
      </c>
      <c r="I20">
        <v>0.69</v>
      </c>
      <c r="K20">
        <v>-0.16</v>
      </c>
      <c r="L20">
        <v>-0.17</v>
      </c>
      <c r="N20" s="1" t="s">
        <v>16</v>
      </c>
    </row>
    <row r="21" spans="1:28">
      <c r="A21" t="s">
        <v>276</v>
      </c>
      <c r="B21" t="s">
        <v>310</v>
      </c>
      <c r="C21" t="s">
        <v>305</v>
      </c>
      <c r="D21" t="s">
        <v>264</v>
      </c>
      <c r="E21" t="s">
        <v>277</v>
      </c>
      <c r="F21" s="10" t="str">
        <f t="shared" si="0"/>
        <v/>
      </c>
      <c r="G21" s="10">
        <f t="shared" si="0"/>
        <v>0.48713861600863517</v>
      </c>
      <c r="H21" s="10">
        <f t="shared" si="0"/>
        <v>0.54291181038512493</v>
      </c>
      <c r="L21">
        <v>-0.28999999999999998</v>
      </c>
      <c r="M21">
        <v>-0.34</v>
      </c>
      <c r="N21" s="1" t="s">
        <v>278</v>
      </c>
    </row>
    <row r="22" spans="1:28">
      <c r="A22" t="s">
        <v>10</v>
      </c>
      <c r="E22" t="s">
        <v>903</v>
      </c>
      <c r="F22" s="10"/>
      <c r="G22" s="10"/>
      <c r="H22" s="10"/>
      <c r="I22">
        <v>0.37</v>
      </c>
      <c r="J22">
        <v>0.63</v>
      </c>
      <c r="N22" s="1" t="s">
        <v>902</v>
      </c>
    </row>
    <row r="23" spans="1:28">
      <c r="A23" t="s">
        <v>10</v>
      </c>
      <c r="B23" t="s">
        <v>311</v>
      </c>
      <c r="C23" t="s">
        <v>305</v>
      </c>
      <c r="D23" t="s">
        <v>264</v>
      </c>
      <c r="E23" t="s">
        <v>13</v>
      </c>
      <c r="F23" s="10">
        <f t="shared" si="0"/>
        <v>0.42456006266284307</v>
      </c>
      <c r="G23" s="10">
        <f t="shared" si="0"/>
        <v>0.35434577096534459</v>
      </c>
      <c r="H23" s="10" t="str">
        <f t="shared" si="0"/>
        <v/>
      </c>
      <c r="I23">
        <v>0.64</v>
      </c>
      <c r="K23">
        <v>-0.24</v>
      </c>
      <c r="L23">
        <v>-0.19</v>
      </c>
      <c r="N23" s="1" t="s">
        <v>16</v>
      </c>
    </row>
    <row r="24" spans="1:28">
      <c r="A24" t="s">
        <v>10</v>
      </c>
      <c r="B24" t="s">
        <v>311</v>
      </c>
      <c r="C24" t="s">
        <v>305</v>
      </c>
      <c r="D24" t="s">
        <v>264</v>
      </c>
      <c r="E24" t="s">
        <v>14</v>
      </c>
      <c r="F24" s="10">
        <f t="shared" si="0"/>
        <v>0.39744041392564222</v>
      </c>
      <c r="G24" s="10">
        <f t="shared" si="0"/>
        <v>0.30816902908106347</v>
      </c>
      <c r="H24" s="10" t="str">
        <f t="shared" si="0"/>
        <v/>
      </c>
      <c r="I24">
        <v>0.75</v>
      </c>
      <c r="K24">
        <v>-0.22</v>
      </c>
      <c r="L24">
        <v>-0.16</v>
      </c>
      <c r="N24" s="1" t="s">
        <v>16</v>
      </c>
    </row>
    <row r="25" spans="1:28">
      <c r="A25" t="s">
        <v>10</v>
      </c>
      <c r="B25" t="s">
        <v>311</v>
      </c>
      <c r="C25" t="s">
        <v>305</v>
      </c>
      <c r="D25" t="s">
        <v>264</v>
      </c>
      <c r="E25" t="s">
        <v>15</v>
      </c>
      <c r="F25" s="10">
        <f t="shared" si="0"/>
        <v>0.25868975869908262</v>
      </c>
      <c r="G25" s="10">
        <f t="shared" si="0"/>
        <v>0.20567176527571851</v>
      </c>
      <c r="H25" s="10" t="str">
        <f t="shared" si="0"/>
        <v/>
      </c>
      <c r="I25">
        <v>0.65</v>
      </c>
      <c r="K25">
        <v>-0.13</v>
      </c>
      <c r="L25">
        <v>-0.1</v>
      </c>
      <c r="N25" s="1" t="s">
        <v>16</v>
      </c>
    </row>
    <row r="26" spans="1:28">
      <c r="A26" t="s">
        <v>10</v>
      </c>
      <c r="B26" t="s">
        <v>312</v>
      </c>
      <c r="C26" t="s">
        <v>305</v>
      </c>
      <c r="D26" t="s">
        <v>264</v>
      </c>
      <c r="E26" t="s">
        <v>17</v>
      </c>
      <c r="F26" s="10">
        <f t="shared" si="0"/>
        <v>0.30816902908106347</v>
      </c>
      <c r="G26" s="10">
        <f t="shared" si="0"/>
        <v>0.29205421561586209</v>
      </c>
      <c r="H26" s="10" t="str">
        <f t="shared" si="0"/>
        <v/>
      </c>
      <c r="I26">
        <v>0.7</v>
      </c>
      <c r="K26">
        <v>-0.16</v>
      </c>
      <c r="L26">
        <v>-0.15</v>
      </c>
      <c r="N26" s="1" t="s">
        <v>16</v>
      </c>
      <c r="W26" t="s">
        <v>188</v>
      </c>
      <c r="X26" t="s">
        <v>189</v>
      </c>
      <c r="Y26" t="s">
        <v>190</v>
      </c>
      <c r="Z26" t="s">
        <v>191</v>
      </c>
      <c r="AA26" t="s">
        <v>192</v>
      </c>
      <c r="AB26" t="s">
        <v>193</v>
      </c>
    </row>
    <row r="27" spans="1:28">
      <c r="A27" t="s">
        <v>10</v>
      </c>
      <c r="B27" t="s">
        <v>313</v>
      </c>
      <c r="C27" t="s">
        <v>305</v>
      </c>
      <c r="D27" t="s">
        <v>264</v>
      </c>
      <c r="E27" t="s">
        <v>18</v>
      </c>
      <c r="F27" s="10">
        <f t="shared" si="0"/>
        <v>0.29205421561586209</v>
      </c>
      <c r="G27" s="10">
        <f t="shared" si="0"/>
        <v>0.30816902908106347</v>
      </c>
      <c r="H27" s="10" t="str">
        <f t="shared" si="0"/>
        <v/>
      </c>
      <c r="I27">
        <v>0.72</v>
      </c>
      <c r="K27">
        <v>-0.15</v>
      </c>
      <c r="L27">
        <v>-0.16</v>
      </c>
      <c r="N27" s="1" t="s">
        <v>16</v>
      </c>
      <c r="W27" t="s">
        <v>188</v>
      </c>
      <c r="X27" t="s">
        <v>189</v>
      </c>
      <c r="Y27" t="s">
        <v>190</v>
      </c>
      <c r="Z27" t="s">
        <v>194</v>
      </c>
      <c r="AA27" t="s">
        <v>195</v>
      </c>
      <c r="AB27" t="s">
        <v>196</v>
      </c>
    </row>
    <row r="28" spans="1:28">
      <c r="A28" t="s">
        <v>10</v>
      </c>
      <c r="B28" t="s">
        <v>314</v>
      </c>
      <c r="C28" t="s">
        <v>315</v>
      </c>
      <c r="D28" t="s">
        <v>316</v>
      </c>
      <c r="E28" t="s">
        <v>236</v>
      </c>
      <c r="F28" s="10">
        <f t="shared" si="0"/>
        <v>0.26717546686109594</v>
      </c>
      <c r="G28" s="10" t="str">
        <f t="shared" si="0"/>
        <v/>
      </c>
      <c r="H28" s="10" t="str">
        <f t="shared" si="0"/>
        <v/>
      </c>
      <c r="K28">
        <v>-0.13500000000000001</v>
      </c>
      <c r="N28" s="1" t="s">
        <v>237</v>
      </c>
    </row>
    <row r="29" spans="1:28">
      <c r="A29" t="s">
        <v>10</v>
      </c>
      <c r="B29" t="s">
        <v>311</v>
      </c>
      <c r="C29" t="s">
        <v>305</v>
      </c>
      <c r="D29" t="s">
        <v>264</v>
      </c>
      <c r="E29" t="s">
        <v>106</v>
      </c>
      <c r="F29" s="10">
        <f t="shared" si="0"/>
        <v>0.25868975869908262</v>
      </c>
      <c r="G29" s="10">
        <f t="shared" si="0"/>
        <v>0.41115634464441109</v>
      </c>
      <c r="H29" s="10" t="str">
        <f t="shared" si="0"/>
        <v/>
      </c>
      <c r="K29">
        <v>-0.13</v>
      </c>
      <c r="L29">
        <v>-0.23</v>
      </c>
      <c r="N29" s="1" t="s">
        <v>107</v>
      </c>
    </row>
    <row r="30" spans="1:28">
      <c r="A30" t="s">
        <v>10</v>
      </c>
      <c r="B30" t="s">
        <v>312</v>
      </c>
      <c r="C30" t="s">
        <v>300</v>
      </c>
      <c r="D30" t="s">
        <v>317</v>
      </c>
      <c r="E30" t="s">
        <v>165</v>
      </c>
      <c r="F30" s="10" t="str">
        <f t="shared" si="0"/>
        <v/>
      </c>
      <c r="G30" s="10" t="str">
        <f t="shared" si="0"/>
        <v/>
      </c>
      <c r="H30" s="10" t="str">
        <f t="shared" si="0"/>
        <v/>
      </c>
      <c r="I30">
        <v>0.56999999999999995</v>
      </c>
      <c r="J30">
        <v>0.43</v>
      </c>
      <c r="N30" s="1" t="s">
        <v>231</v>
      </c>
      <c r="X30" t="s">
        <v>230</v>
      </c>
    </row>
    <row r="31" spans="1:28">
      <c r="A31" t="s">
        <v>10</v>
      </c>
      <c r="B31" t="s">
        <v>349</v>
      </c>
      <c r="C31" t="s">
        <v>350</v>
      </c>
      <c r="D31" t="s">
        <v>351</v>
      </c>
      <c r="E31" t="s">
        <v>352</v>
      </c>
      <c r="F31" s="10" t="str">
        <f t="shared" ref="F31" si="1">IF(K31="", "",(1-10^K31))</f>
        <v/>
      </c>
      <c r="G31" s="10">
        <f t="shared" ref="G31" si="2">IF(L31="", "",(1-10^L31))</f>
        <v>7.3170176620650729E-2</v>
      </c>
      <c r="H31" s="10" t="str">
        <f t="shared" ref="H31" si="3">IF(M31="", "",(1-10^M31))</f>
        <v/>
      </c>
      <c r="L31">
        <v>-3.3000000000000002E-2</v>
      </c>
      <c r="N31" s="1" t="s">
        <v>361</v>
      </c>
    </row>
    <row r="32" spans="1:28">
      <c r="A32" t="s">
        <v>10</v>
      </c>
      <c r="B32" t="s">
        <v>312</v>
      </c>
      <c r="C32" t="s">
        <v>300</v>
      </c>
      <c r="D32" t="s">
        <v>317</v>
      </c>
      <c r="E32" t="s">
        <v>274</v>
      </c>
      <c r="F32" s="10">
        <f t="shared" si="0"/>
        <v>4.5007413978564115E-2</v>
      </c>
      <c r="G32" s="10">
        <f t="shared" si="0"/>
        <v>0.22375288337130828</v>
      </c>
      <c r="H32" s="10">
        <f t="shared" si="0"/>
        <v>6.674569920300899E-2</v>
      </c>
      <c r="K32">
        <v>-0.02</v>
      </c>
      <c r="L32">
        <v>-0.11</v>
      </c>
      <c r="M32">
        <v>-0.03</v>
      </c>
      <c r="N32" s="1" t="s">
        <v>275</v>
      </c>
    </row>
    <row r="33" spans="1:19">
      <c r="A33" t="s">
        <v>10</v>
      </c>
      <c r="B33" t="s">
        <v>311</v>
      </c>
      <c r="C33" t="s">
        <v>318</v>
      </c>
      <c r="D33" t="s">
        <v>319</v>
      </c>
      <c r="E33" t="s">
        <v>272</v>
      </c>
      <c r="F33" s="10">
        <f t="shared" si="0"/>
        <v>0.65005483297164279</v>
      </c>
      <c r="G33" s="10" t="str">
        <f t="shared" si="0"/>
        <v/>
      </c>
      <c r="H33" s="10" t="str">
        <f t="shared" si="0"/>
        <v/>
      </c>
      <c r="K33">
        <v>-0.45600000000000002</v>
      </c>
      <c r="N33" s="1" t="s">
        <v>273</v>
      </c>
    </row>
    <row r="34" spans="1:19">
      <c r="A34" t="s">
        <v>11</v>
      </c>
      <c r="B34" t="s">
        <v>320</v>
      </c>
      <c r="C34" t="s">
        <v>305</v>
      </c>
      <c r="D34" t="s">
        <v>264</v>
      </c>
      <c r="E34" t="s">
        <v>103</v>
      </c>
      <c r="F34" s="10" t="str">
        <f t="shared" si="0"/>
        <v/>
      </c>
      <c r="G34" s="10" t="str">
        <f t="shared" si="0"/>
        <v/>
      </c>
      <c r="H34" s="10" t="str">
        <f t="shared" si="0"/>
        <v/>
      </c>
      <c r="I34">
        <v>0.71</v>
      </c>
      <c r="N34" s="1" t="s">
        <v>16</v>
      </c>
    </row>
    <row r="35" spans="1:19">
      <c r="A35" t="s">
        <v>11</v>
      </c>
      <c r="B35" t="s">
        <v>321</v>
      </c>
      <c r="C35" t="s">
        <v>300</v>
      </c>
      <c r="D35" t="s">
        <v>317</v>
      </c>
      <c r="E35" t="s">
        <v>165</v>
      </c>
      <c r="F35" s="10" t="str">
        <f t="shared" si="0"/>
        <v/>
      </c>
      <c r="G35" s="10" t="str">
        <f t="shared" si="0"/>
        <v/>
      </c>
      <c r="H35" s="10" t="str">
        <f t="shared" si="0"/>
        <v/>
      </c>
      <c r="I35">
        <v>0.41</v>
      </c>
      <c r="N35" s="1" t="s">
        <v>164</v>
      </c>
    </row>
    <row r="36" spans="1:19">
      <c r="A36" s="29" t="s">
        <v>112</v>
      </c>
      <c r="B36" s="29" t="s">
        <v>322</v>
      </c>
      <c r="C36" s="29" t="s">
        <v>305</v>
      </c>
      <c r="D36" s="29" t="s">
        <v>264</v>
      </c>
      <c r="E36" s="29" t="s">
        <v>822</v>
      </c>
      <c r="F36" s="10">
        <f>IF(K36="", "",(1-10^K36))</f>
        <v>0.28055102199630055</v>
      </c>
      <c r="G36" s="10"/>
      <c r="H36" s="10"/>
      <c r="K36">
        <v>-0.14299999999999999</v>
      </c>
      <c r="N36" s="1" t="s">
        <v>821</v>
      </c>
    </row>
    <row r="37" spans="1:19">
      <c r="A37" t="s">
        <v>112</v>
      </c>
      <c r="B37" t="s">
        <v>322</v>
      </c>
      <c r="C37" t="s">
        <v>305</v>
      </c>
      <c r="D37" t="s">
        <v>264</v>
      </c>
      <c r="E37" t="s">
        <v>292</v>
      </c>
      <c r="F37" s="10">
        <f>IF(K37="", "",(1-10^K37))</f>
        <v>0.11284398796203921</v>
      </c>
      <c r="G37" s="10" t="str">
        <f>IF(L37="", "",(1-10^L37))</f>
        <v/>
      </c>
      <c r="H37" s="10" t="str">
        <f>IF(M37="", "",(1-10^M37))</f>
        <v/>
      </c>
      <c r="K37">
        <v>-5.1999999999999998E-2</v>
      </c>
      <c r="N37" s="1" t="s">
        <v>142</v>
      </c>
    </row>
    <row r="38" spans="1:19">
      <c r="A38" t="s">
        <v>112</v>
      </c>
      <c r="B38" t="s">
        <v>322</v>
      </c>
      <c r="C38" t="s">
        <v>305</v>
      </c>
      <c r="D38" t="s">
        <v>264</v>
      </c>
      <c r="E38" t="s">
        <v>290</v>
      </c>
      <c r="F38" s="10">
        <f t="shared" si="0"/>
        <v>0.17775735005292892</v>
      </c>
      <c r="G38" s="10" t="str">
        <f t="shared" si="0"/>
        <v/>
      </c>
      <c r="H38" s="10" t="str">
        <f t="shared" si="0"/>
        <v/>
      </c>
      <c r="K38">
        <v>-8.5000000000000006E-2</v>
      </c>
      <c r="N38" s="1" t="s">
        <v>291</v>
      </c>
    </row>
    <row r="39" spans="1:19">
      <c r="A39" t="s">
        <v>112</v>
      </c>
      <c r="B39" t="s">
        <v>322</v>
      </c>
      <c r="C39" t="s">
        <v>897</v>
      </c>
      <c r="D39" t="s">
        <v>317</v>
      </c>
      <c r="E39" t="s">
        <v>898</v>
      </c>
      <c r="F39" s="10" t="str">
        <f t="shared" ref="F39" si="4">IF(K39="", "",(1-10^K39))</f>
        <v/>
      </c>
      <c r="G39" s="10">
        <f t="shared" ref="G39" si="5">IF(L39="", "",(1-10^L39))</f>
        <v>0.22375288337130828</v>
      </c>
      <c r="H39" s="10" t="str">
        <f t="shared" ref="H39" si="6">IF(M39="", "",(1-10^M39))</f>
        <v/>
      </c>
      <c r="L39">
        <v>-0.11</v>
      </c>
      <c r="N39" s="1" t="s">
        <v>896</v>
      </c>
    </row>
    <row r="40" spans="1:19">
      <c r="A40" t="s">
        <v>112</v>
      </c>
      <c r="B40" t="s">
        <v>323</v>
      </c>
      <c r="C40" t="s">
        <v>305</v>
      </c>
      <c r="D40" t="s">
        <v>264</v>
      </c>
      <c r="E40" t="s">
        <v>2</v>
      </c>
      <c r="F40" s="10">
        <f t="shared" si="0"/>
        <v>6.674569920300899E-2</v>
      </c>
      <c r="G40" s="10" t="str">
        <f t="shared" si="0"/>
        <v/>
      </c>
      <c r="H40" s="10" t="str">
        <f t="shared" si="0"/>
        <v/>
      </c>
      <c r="I40">
        <v>0.32</v>
      </c>
      <c r="J40">
        <v>0.78</v>
      </c>
      <c r="K40">
        <v>-0.03</v>
      </c>
      <c r="N40" s="1" t="s">
        <v>7</v>
      </c>
    </row>
    <row r="41" spans="1:19">
      <c r="A41" t="s">
        <v>112</v>
      </c>
      <c r="B41" t="s">
        <v>323</v>
      </c>
      <c r="C41" t="s">
        <v>305</v>
      </c>
      <c r="D41" t="s">
        <v>324</v>
      </c>
      <c r="E41" t="s">
        <v>3</v>
      </c>
      <c r="F41" s="10">
        <f t="shared" si="0"/>
        <v>0.51022118063155386</v>
      </c>
      <c r="G41" s="10" t="str">
        <f t="shared" si="0"/>
        <v/>
      </c>
      <c r="H41" s="10" t="str">
        <f t="shared" si="0"/>
        <v/>
      </c>
      <c r="I41">
        <v>0.66</v>
      </c>
      <c r="J41">
        <v>0.34</v>
      </c>
      <c r="K41">
        <v>-0.31</v>
      </c>
      <c r="N41" s="1" t="s">
        <v>7</v>
      </c>
    </row>
    <row r="42" spans="1:19">
      <c r="A42" t="s">
        <v>112</v>
      </c>
      <c r="B42" t="s">
        <v>322</v>
      </c>
      <c r="C42" t="s">
        <v>305</v>
      </c>
      <c r="D42" t="s">
        <v>264</v>
      </c>
      <c r="E42" t="s">
        <v>4</v>
      </c>
      <c r="F42" s="10">
        <f t="shared" si="0"/>
        <v>0.14886196179762357</v>
      </c>
      <c r="G42" s="10" t="str">
        <f t="shared" si="0"/>
        <v/>
      </c>
      <c r="H42" s="10" t="str">
        <f t="shared" si="0"/>
        <v/>
      </c>
      <c r="I42">
        <v>0.49</v>
      </c>
      <c r="J42">
        <v>0.51</v>
      </c>
      <c r="K42">
        <v>-7.0000000000000007E-2</v>
      </c>
      <c r="N42" s="1" t="s">
        <v>7</v>
      </c>
    </row>
    <row r="43" spans="1:19">
      <c r="A43" t="s">
        <v>112</v>
      </c>
      <c r="B43" t="s">
        <v>322</v>
      </c>
      <c r="C43" t="s">
        <v>305</v>
      </c>
      <c r="D43" t="s">
        <v>264</v>
      </c>
      <c r="E43" t="s">
        <v>5</v>
      </c>
      <c r="F43" s="10">
        <f t="shared" si="0"/>
        <v>0.10874906186625455</v>
      </c>
      <c r="G43" s="10" t="str">
        <f t="shared" si="0"/>
        <v/>
      </c>
      <c r="H43" s="10" t="str">
        <f t="shared" si="0"/>
        <v/>
      </c>
      <c r="I43">
        <v>0.62</v>
      </c>
      <c r="J43">
        <v>0.38</v>
      </c>
      <c r="K43">
        <v>-0.05</v>
      </c>
      <c r="N43" s="1" t="s">
        <v>7</v>
      </c>
    </row>
    <row r="44" spans="1:19">
      <c r="A44" t="s">
        <v>12</v>
      </c>
      <c r="B44" t="s">
        <v>325</v>
      </c>
      <c r="C44" t="s">
        <v>326</v>
      </c>
      <c r="D44" t="s">
        <v>324</v>
      </c>
      <c r="E44" t="s">
        <v>108</v>
      </c>
      <c r="F44" s="10" t="str">
        <f t="shared" si="0"/>
        <v/>
      </c>
      <c r="G44" s="10" t="str">
        <f t="shared" si="0"/>
        <v/>
      </c>
      <c r="H44" s="10" t="str">
        <f t="shared" si="0"/>
        <v/>
      </c>
      <c r="I44">
        <v>0.53</v>
      </c>
      <c r="N44" s="1" t="s">
        <v>137</v>
      </c>
    </row>
    <row r="45" spans="1:19">
      <c r="A45" t="s">
        <v>12</v>
      </c>
      <c r="B45" t="s">
        <v>325</v>
      </c>
      <c r="C45" t="s">
        <v>326</v>
      </c>
      <c r="D45" t="s">
        <v>324</v>
      </c>
      <c r="E45" t="s">
        <v>109</v>
      </c>
      <c r="F45" s="10" t="str">
        <f t="shared" si="0"/>
        <v/>
      </c>
      <c r="G45" s="10" t="str">
        <f t="shared" si="0"/>
        <v/>
      </c>
      <c r="H45" s="10" t="str">
        <f t="shared" si="0"/>
        <v/>
      </c>
      <c r="I45">
        <v>0.73</v>
      </c>
      <c r="N45" s="1" t="s">
        <v>137</v>
      </c>
    </row>
    <row r="46" spans="1:19">
      <c r="A46" t="s">
        <v>12</v>
      </c>
      <c r="B46" t="s">
        <v>325</v>
      </c>
      <c r="C46" t="s">
        <v>327</v>
      </c>
      <c r="D46" t="s">
        <v>324</v>
      </c>
      <c r="E46" t="s">
        <v>111</v>
      </c>
      <c r="F46" s="10" t="str">
        <f t="shared" si="0"/>
        <v/>
      </c>
      <c r="G46" s="10" t="str">
        <f t="shared" si="0"/>
        <v/>
      </c>
      <c r="H46" s="10" t="str">
        <f t="shared" si="0"/>
        <v/>
      </c>
      <c r="I46">
        <v>0.62</v>
      </c>
      <c r="N46" s="1" t="s">
        <v>110</v>
      </c>
    </row>
    <row r="47" spans="1:19">
      <c r="A47" t="s">
        <v>113</v>
      </c>
      <c r="B47" t="s">
        <v>328</v>
      </c>
      <c r="C47" t="s">
        <v>329</v>
      </c>
      <c r="D47" t="s">
        <v>283</v>
      </c>
      <c r="E47" t="s">
        <v>152</v>
      </c>
      <c r="F47" s="10">
        <v>0.11890000000000001</v>
      </c>
      <c r="G47" s="10" t="str">
        <f t="shared" ref="G47:H63" si="7">IF(L47="", "",(1-10^L47))</f>
        <v/>
      </c>
      <c r="H47" s="10" t="str">
        <f t="shared" si="7"/>
        <v/>
      </c>
      <c r="K47" s="13" t="s">
        <v>154</v>
      </c>
      <c r="N47" s="1" t="s">
        <v>138</v>
      </c>
    </row>
    <row r="48" spans="1:19">
      <c r="A48" t="s">
        <v>113</v>
      </c>
      <c r="B48" t="s">
        <v>328</v>
      </c>
      <c r="C48" t="s">
        <v>329</v>
      </c>
      <c r="D48" t="s">
        <v>283</v>
      </c>
      <c r="E48" t="s">
        <v>134</v>
      </c>
      <c r="F48" s="10" t="str">
        <f t="shared" ref="F48:F59" si="8">IF(K48="", "",(1-10^K48))</f>
        <v/>
      </c>
      <c r="G48" s="10" t="str">
        <f t="shared" si="7"/>
        <v/>
      </c>
      <c r="H48" s="10">
        <f t="shared" si="7"/>
        <v>0.10874906186625455</v>
      </c>
      <c r="M48">
        <v>-0.05</v>
      </c>
      <c r="N48" s="1" t="s">
        <v>138</v>
      </c>
      <c r="S48" t="s">
        <v>136</v>
      </c>
    </row>
    <row r="49" spans="1:18">
      <c r="A49" t="s">
        <v>113</v>
      </c>
      <c r="B49" t="s">
        <v>328</v>
      </c>
      <c r="C49" t="s">
        <v>305</v>
      </c>
      <c r="D49" t="s">
        <v>330</v>
      </c>
      <c r="E49" t="s">
        <v>299</v>
      </c>
      <c r="F49" s="10">
        <f t="shared" si="8"/>
        <v>0.29368244573703806</v>
      </c>
      <c r="G49" s="10">
        <f t="shared" si="7"/>
        <v>0.39882626251672204</v>
      </c>
      <c r="H49" s="10" t="str">
        <f t="shared" si="7"/>
        <v/>
      </c>
      <c r="I49">
        <v>0.64</v>
      </c>
      <c r="J49">
        <v>0.33</v>
      </c>
      <c r="K49">
        <v>-0.151</v>
      </c>
      <c r="L49">
        <v>-0.221</v>
      </c>
      <c r="N49" s="1" t="s">
        <v>297</v>
      </c>
    </row>
    <row r="50" spans="1:18">
      <c r="A50" t="s">
        <v>113</v>
      </c>
      <c r="B50" t="s">
        <v>328</v>
      </c>
      <c r="C50" t="s">
        <v>305</v>
      </c>
      <c r="D50" t="s">
        <v>264</v>
      </c>
      <c r="E50" t="s">
        <v>298</v>
      </c>
      <c r="F50" s="10">
        <f t="shared" si="8"/>
        <v>0.32391702460801819</v>
      </c>
      <c r="G50" s="10">
        <f t="shared" si="7"/>
        <v>0.28550367392448661</v>
      </c>
      <c r="H50" s="10" t="str">
        <f t="shared" si="7"/>
        <v/>
      </c>
      <c r="I50">
        <v>0.54</v>
      </c>
      <c r="J50">
        <v>0.46</v>
      </c>
      <c r="K50">
        <v>-0.17</v>
      </c>
      <c r="L50">
        <v>-0.14599999999999999</v>
      </c>
      <c r="N50" s="1" t="s">
        <v>297</v>
      </c>
    </row>
    <row r="51" spans="1:18">
      <c r="A51" t="s">
        <v>113</v>
      </c>
      <c r="B51" t="s">
        <v>331</v>
      </c>
      <c r="C51" t="s">
        <v>329</v>
      </c>
      <c r="D51" t="s">
        <v>264</v>
      </c>
      <c r="E51" t="s">
        <v>296</v>
      </c>
      <c r="F51" s="10" t="str">
        <f t="shared" si="8"/>
        <v/>
      </c>
      <c r="G51" s="10">
        <f t="shared" si="7"/>
        <v>0.6018928294465028</v>
      </c>
      <c r="H51" s="10" t="str">
        <f t="shared" si="7"/>
        <v/>
      </c>
      <c r="L51">
        <v>-0.4</v>
      </c>
      <c r="N51" s="1" t="s">
        <v>295</v>
      </c>
    </row>
    <row r="52" spans="1:18">
      <c r="A52" t="s">
        <v>113</v>
      </c>
      <c r="B52" t="s">
        <v>332</v>
      </c>
      <c r="C52" t="s">
        <v>333</v>
      </c>
      <c r="D52" t="s">
        <v>333</v>
      </c>
      <c r="E52" t="s">
        <v>130</v>
      </c>
      <c r="F52" s="10" t="str">
        <f t="shared" si="8"/>
        <v/>
      </c>
      <c r="G52" s="10">
        <f t="shared" si="7"/>
        <v>0.43245539459145288</v>
      </c>
      <c r="H52" s="10">
        <f t="shared" si="7"/>
        <v>0.47033655610834224</v>
      </c>
      <c r="L52">
        <v>-0.246</v>
      </c>
      <c r="M52">
        <v>-0.27600000000000002</v>
      </c>
      <c r="N52" s="1" t="s">
        <v>131</v>
      </c>
    </row>
    <row r="53" spans="1:18">
      <c r="A53" t="s">
        <v>113</v>
      </c>
      <c r="B53" t="s">
        <v>334</v>
      </c>
      <c r="C53" t="s">
        <v>335</v>
      </c>
      <c r="D53" t="s">
        <v>336</v>
      </c>
      <c r="E53" t="s">
        <v>281</v>
      </c>
      <c r="F53" s="10" t="str">
        <f t="shared" si="8"/>
        <v/>
      </c>
      <c r="G53" s="10" t="str">
        <f t="shared" si="7"/>
        <v/>
      </c>
      <c r="H53" s="10">
        <v>0.28389999999999999</v>
      </c>
      <c r="M53" s="13" t="s">
        <v>280</v>
      </c>
      <c r="N53" s="1" t="s">
        <v>279</v>
      </c>
    </row>
    <row r="54" spans="1:18">
      <c r="A54" t="s">
        <v>132</v>
      </c>
      <c r="B54" t="s">
        <v>337</v>
      </c>
      <c r="C54" t="s">
        <v>305</v>
      </c>
      <c r="D54" t="s">
        <v>264</v>
      </c>
      <c r="E54" t="s">
        <v>133</v>
      </c>
      <c r="F54" s="10" t="str">
        <f t="shared" si="8"/>
        <v/>
      </c>
      <c r="G54" s="10">
        <f t="shared" si="7"/>
        <v>5.8110403477158568E-2</v>
      </c>
      <c r="H54" s="10" t="str">
        <f t="shared" si="7"/>
        <v/>
      </c>
      <c r="I54">
        <v>0.63</v>
      </c>
      <c r="J54">
        <v>0.45</v>
      </c>
      <c r="L54">
        <v>-2.5999999999999999E-2</v>
      </c>
      <c r="N54" s="1" t="s">
        <v>139</v>
      </c>
    </row>
    <row r="55" spans="1:18">
      <c r="A55" t="s">
        <v>132</v>
      </c>
      <c r="B55" t="s">
        <v>337</v>
      </c>
      <c r="C55" t="s">
        <v>305</v>
      </c>
      <c r="D55" t="s">
        <v>264</v>
      </c>
      <c r="E55" t="s">
        <v>294</v>
      </c>
      <c r="F55" s="10">
        <f t="shared" si="8"/>
        <v>8.018603273037439E-2</v>
      </c>
      <c r="G55" s="10">
        <f t="shared" si="7"/>
        <v>0.41386183548597133</v>
      </c>
      <c r="H55" s="10">
        <f t="shared" si="7"/>
        <v>0.26818720232554438</v>
      </c>
      <c r="K55">
        <v>-3.6299999999999999E-2</v>
      </c>
      <c r="L55">
        <v>-0.23200000000000001</v>
      </c>
      <c r="M55">
        <v>-0.1356</v>
      </c>
      <c r="N55" s="1" t="s">
        <v>293</v>
      </c>
    </row>
    <row r="56" spans="1:18">
      <c r="A56" t="s">
        <v>114</v>
      </c>
      <c r="B56" t="s">
        <v>338</v>
      </c>
      <c r="C56" t="s">
        <v>305</v>
      </c>
      <c r="D56" t="s">
        <v>264</v>
      </c>
      <c r="E56" t="s">
        <v>143</v>
      </c>
      <c r="F56" s="10" t="str">
        <f t="shared" si="8"/>
        <v/>
      </c>
      <c r="G56" s="10">
        <f t="shared" si="7"/>
        <v>1.4401576843404484E-2</v>
      </c>
      <c r="H56" s="10">
        <f t="shared" si="7"/>
        <v>1.6894784718230693E-2</v>
      </c>
      <c r="I56">
        <v>0.27</v>
      </c>
      <c r="J56">
        <v>0.71</v>
      </c>
      <c r="L56">
        <v>-6.3E-3</v>
      </c>
      <c r="M56">
        <v>-7.4000000000000003E-3</v>
      </c>
      <c r="N56" s="1" t="s">
        <v>144</v>
      </c>
      <c r="O56">
        <v>6.3E-3</v>
      </c>
      <c r="P56">
        <v>7.4000000000000003E-3</v>
      </c>
      <c r="Q56" t="s">
        <v>122</v>
      </c>
      <c r="R56" t="s">
        <v>123</v>
      </c>
    </row>
    <row r="57" spans="1:18">
      <c r="A57" t="s">
        <v>114</v>
      </c>
      <c r="B57" t="s">
        <v>338</v>
      </c>
      <c r="C57" t="s">
        <v>305</v>
      </c>
      <c r="D57" t="s">
        <v>264</v>
      </c>
      <c r="E57" t="s">
        <v>124</v>
      </c>
      <c r="F57" s="10">
        <f t="shared" si="8"/>
        <v>0.15666524223572464</v>
      </c>
      <c r="G57" s="10" t="str">
        <f t="shared" si="7"/>
        <v/>
      </c>
      <c r="H57" s="10" t="str">
        <f t="shared" si="7"/>
        <v/>
      </c>
      <c r="K57">
        <v>-7.3999999999999996E-2</v>
      </c>
      <c r="N57" s="1" t="s">
        <v>255</v>
      </c>
    </row>
    <row r="58" spans="1:18">
      <c r="A58" t="s">
        <v>114</v>
      </c>
      <c r="B58" t="s">
        <v>338</v>
      </c>
      <c r="C58" t="s">
        <v>305</v>
      </c>
      <c r="D58" t="s">
        <v>264</v>
      </c>
      <c r="E58" t="s">
        <v>125</v>
      </c>
      <c r="F58" s="10">
        <f t="shared" si="8"/>
        <v>3.8387721616335413E-2</v>
      </c>
      <c r="G58" s="10" t="str">
        <f t="shared" si="7"/>
        <v/>
      </c>
      <c r="H58" s="10" t="str">
        <f t="shared" si="7"/>
        <v/>
      </c>
      <c r="I58">
        <v>0.78</v>
      </c>
      <c r="J58">
        <v>0.23</v>
      </c>
      <c r="K58">
        <v>-1.7000000000000001E-2</v>
      </c>
      <c r="N58" s="1" t="s">
        <v>135</v>
      </c>
    </row>
    <row r="59" spans="1:18">
      <c r="A59" t="s">
        <v>114</v>
      </c>
      <c r="B59" t="s">
        <v>338</v>
      </c>
      <c r="C59" t="s">
        <v>305</v>
      </c>
      <c r="D59" t="s">
        <v>264</v>
      </c>
      <c r="E59" t="s">
        <v>126</v>
      </c>
      <c r="F59" s="10">
        <f t="shared" si="8"/>
        <v>3.8387721616335413E-2</v>
      </c>
      <c r="G59" s="10" t="str">
        <f t="shared" si="7"/>
        <v/>
      </c>
      <c r="H59" s="10" t="str">
        <f t="shared" si="7"/>
        <v/>
      </c>
      <c r="I59">
        <v>0.57999999999999996</v>
      </c>
      <c r="J59">
        <v>0.42</v>
      </c>
      <c r="K59">
        <v>-1.7000000000000001E-2</v>
      </c>
      <c r="N59" s="1" t="s">
        <v>135</v>
      </c>
    </row>
    <row r="60" spans="1:18">
      <c r="A60" t="s">
        <v>114</v>
      </c>
      <c r="B60" t="s">
        <v>338</v>
      </c>
      <c r="C60" t="s">
        <v>305</v>
      </c>
      <c r="D60" t="s">
        <v>264</v>
      </c>
      <c r="E60" t="s">
        <v>150</v>
      </c>
      <c r="F60" s="10">
        <v>5.8099999999999999E-2</v>
      </c>
      <c r="G60" s="10" t="str">
        <f t="shared" si="7"/>
        <v/>
      </c>
      <c r="H60" s="10" t="str">
        <f t="shared" si="7"/>
        <v/>
      </c>
      <c r="K60" s="13" t="s">
        <v>159</v>
      </c>
      <c r="N60" s="1" t="s">
        <v>151</v>
      </c>
    </row>
    <row r="61" spans="1:18">
      <c r="A61" t="s">
        <v>114</v>
      </c>
      <c r="B61" t="s">
        <v>338</v>
      </c>
      <c r="C61" t="s">
        <v>305</v>
      </c>
      <c r="D61" t="s">
        <v>264</v>
      </c>
      <c r="E61" t="s">
        <v>802</v>
      </c>
      <c r="F61" s="10">
        <f t="shared" ref="F61" si="9">IF(K61="", "",(1-10^K61))</f>
        <v>0.11079888214205147</v>
      </c>
      <c r="G61" s="10" t="str">
        <f t="shared" ref="G61" si="10">IF(L61="", "",(1-10^L61))</f>
        <v/>
      </c>
      <c r="H61" s="10" t="str">
        <f t="shared" ref="H61" si="11">IF(M61="", "",(1-10^M61))</f>
        <v/>
      </c>
      <c r="I61">
        <v>0.6</v>
      </c>
      <c r="J61">
        <v>0.4</v>
      </c>
      <c r="K61" s="13">
        <v>-5.0999999999999997E-2</v>
      </c>
      <c r="N61" s="1" t="s">
        <v>803</v>
      </c>
    </row>
    <row r="62" spans="1:18">
      <c r="A62" t="s">
        <v>114</v>
      </c>
      <c r="B62" t="s">
        <v>338</v>
      </c>
      <c r="C62" t="s">
        <v>305</v>
      </c>
      <c r="D62" t="s">
        <v>264</v>
      </c>
      <c r="E62" t="s">
        <v>353</v>
      </c>
      <c r="F62" s="10" t="str">
        <f t="shared" ref="F62:G83" si="12">IF(K62="", "",(1-10^K62))</f>
        <v/>
      </c>
      <c r="G62" s="10">
        <f t="shared" si="7"/>
        <v>0.57046357323511276</v>
      </c>
      <c r="H62" s="10">
        <f t="shared" si="7"/>
        <v>0.68084621448992388</v>
      </c>
      <c r="K62" s="13"/>
      <c r="L62">
        <v>-0.36699999999999999</v>
      </c>
      <c r="M62">
        <v>-0.496</v>
      </c>
      <c r="N62" s="1" t="s">
        <v>256</v>
      </c>
    </row>
    <row r="63" spans="1:18">
      <c r="A63" t="s">
        <v>114</v>
      </c>
      <c r="B63" t="s">
        <v>338</v>
      </c>
      <c r="C63" t="s">
        <v>305</v>
      </c>
      <c r="D63" t="s">
        <v>264</v>
      </c>
      <c r="E63" t="s">
        <v>353</v>
      </c>
      <c r="F63" s="10" t="str">
        <f t="shared" si="12"/>
        <v/>
      </c>
      <c r="G63" s="10">
        <f t="shared" si="7"/>
        <v>9.2179469821814242E-2</v>
      </c>
      <c r="H63" s="10">
        <f t="shared" si="7"/>
        <v>0.20384064958268122</v>
      </c>
      <c r="K63" s="13"/>
      <c r="L63">
        <v>-4.2000000000000003E-2</v>
      </c>
      <c r="M63">
        <v>-9.9000000000000005E-2</v>
      </c>
      <c r="N63" s="1" t="s">
        <v>256</v>
      </c>
    </row>
    <row r="64" spans="1:18">
      <c r="A64" t="s">
        <v>114</v>
      </c>
      <c r="B64" t="s">
        <v>338</v>
      </c>
      <c r="C64" t="s">
        <v>356</v>
      </c>
      <c r="D64" t="s">
        <v>264</v>
      </c>
      <c r="E64" t="s">
        <v>355</v>
      </c>
      <c r="F64" s="10" t="str">
        <f t="shared" ref="F64" si="13">IF(K64="", "",(1-10^K64))</f>
        <v/>
      </c>
      <c r="G64" s="10" t="str">
        <f t="shared" ref="G64" si="14">IF(L64="", "",(1-10^L64))</f>
        <v/>
      </c>
      <c r="H64" s="10">
        <f t="shared" ref="H64" si="15">IF(M64="", "",(1-10^M64))</f>
        <v>2.7252776223034902E-2</v>
      </c>
      <c r="K64" s="13"/>
      <c r="M64">
        <v>-1.2E-2</v>
      </c>
      <c r="N64" s="1" t="s">
        <v>354</v>
      </c>
    </row>
    <row r="65" spans="1:22">
      <c r="A65" t="s">
        <v>145</v>
      </c>
      <c r="B65" t="s">
        <v>339</v>
      </c>
      <c r="C65" t="s">
        <v>305</v>
      </c>
      <c r="D65" t="s">
        <v>264</v>
      </c>
      <c r="E65" t="s">
        <v>285</v>
      </c>
      <c r="F65" s="10">
        <f t="shared" si="12"/>
        <v>0.12501622477256402</v>
      </c>
      <c r="G65" s="10"/>
      <c r="H65" s="10"/>
      <c r="K65">
        <v>-5.8000000000000003E-2</v>
      </c>
      <c r="N65" s="1" t="s">
        <v>284</v>
      </c>
    </row>
    <row r="66" spans="1:22">
      <c r="A66" t="s">
        <v>145</v>
      </c>
      <c r="B66" t="s">
        <v>339</v>
      </c>
      <c r="C66" t="s">
        <v>305</v>
      </c>
      <c r="D66" t="s">
        <v>264</v>
      </c>
      <c r="E66" t="s">
        <v>286</v>
      </c>
      <c r="F66" s="10">
        <f t="shared" si="12"/>
        <v>0.10257120549925158</v>
      </c>
      <c r="G66" s="10"/>
      <c r="H66" s="10"/>
      <c r="K66">
        <v>-4.7E-2</v>
      </c>
      <c r="N66" s="1" t="s">
        <v>284</v>
      </c>
    </row>
    <row r="67" spans="1:22">
      <c r="A67" t="s">
        <v>145</v>
      </c>
      <c r="B67" t="s">
        <v>339</v>
      </c>
      <c r="C67" t="s">
        <v>305</v>
      </c>
      <c r="D67" t="s">
        <v>264</v>
      </c>
      <c r="E67" t="s">
        <v>146</v>
      </c>
      <c r="F67" s="10">
        <f t="shared" si="12"/>
        <v>5.3762838634206944E-2</v>
      </c>
      <c r="G67" s="10" t="str">
        <f>IF(L67="", "",(1-10^L67))</f>
        <v/>
      </c>
      <c r="H67" s="10" t="str">
        <f>IF(M67="", "",(1-10^M67))</f>
        <v/>
      </c>
      <c r="K67">
        <v>-2.4E-2</v>
      </c>
      <c r="N67" s="1" t="s">
        <v>147</v>
      </c>
    </row>
    <row r="68" spans="1:22">
      <c r="A68" t="s">
        <v>140</v>
      </c>
      <c r="B68" t="s">
        <v>340</v>
      </c>
      <c r="C68" t="s">
        <v>301</v>
      </c>
      <c r="D68" t="s">
        <v>264</v>
      </c>
      <c r="E68" t="s">
        <v>141</v>
      </c>
      <c r="F68" s="10" t="str">
        <f t="shared" si="12"/>
        <v/>
      </c>
      <c r="G68" s="10">
        <v>0.39610000000000001</v>
      </c>
      <c r="H68" s="10" t="str">
        <f t="shared" ref="H68:H83" si="16">IF(M68="", "",(1-10^M68))</f>
        <v/>
      </c>
      <c r="L68" s="13" t="s">
        <v>153</v>
      </c>
      <c r="N68" s="1" t="s">
        <v>158</v>
      </c>
    </row>
    <row r="69" spans="1:22">
      <c r="A69" t="s">
        <v>155</v>
      </c>
      <c r="B69" t="s">
        <v>341</v>
      </c>
      <c r="C69" t="s">
        <v>329</v>
      </c>
      <c r="D69" t="s">
        <v>264</v>
      </c>
      <c r="E69" t="s">
        <v>156</v>
      </c>
      <c r="F69" s="10" t="str">
        <f t="shared" si="12"/>
        <v/>
      </c>
      <c r="G69" s="10">
        <v>3.1699999999999999E-2</v>
      </c>
      <c r="H69" s="10" t="str">
        <f t="shared" si="16"/>
        <v/>
      </c>
      <c r="L69" s="13" t="s">
        <v>160</v>
      </c>
      <c r="N69" s="1" t="s">
        <v>157</v>
      </c>
    </row>
    <row r="70" spans="1:22">
      <c r="A70" t="s">
        <v>149</v>
      </c>
      <c r="B70" t="s">
        <v>342</v>
      </c>
      <c r="C70" t="s">
        <v>305</v>
      </c>
      <c r="D70" t="s">
        <v>264</v>
      </c>
      <c r="E70" t="s">
        <v>225</v>
      </c>
      <c r="F70" s="10" t="str">
        <f t="shared" si="12"/>
        <v/>
      </c>
      <c r="G70" s="10">
        <f t="shared" si="12"/>
        <v>0.32391702460801819</v>
      </c>
      <c r="H70" s="10" t="str">
        <f t="shared" si="16"/>
        <v/>
      </c>
      <c r="L70">
        <v>-0.17</v>
      </c>
      <c r="N70" s="1" t="s">
        <v>148</v>
      </c>
      <c r="U70" t="s">
        <v>170</v>
      </c>
      <c r="V70" t="s">
        <v>171</v>
      </c>
    </row>
    <row r="71" spans="1:22">
      <c r="A71" t="s">
        <v>149</v>
      </c>
      <c r="B71" t="s">
        <v>343</v>
      </c>
      <c r="C71" t="s">
        <v>329</v>
      </c>
      <c r="D71" t="s">
        <v>262</v>
      </c>
      <c r="E71" t="s">
        <v>227</v>
      </c>
      <c r="F71" s="10" t="str">
        <f t="shared" si="12"/>
        <v/>
      </c>
      <c r="G71" s="10" t="str">
        <f t="shared" si="12"/>
        <v/>
      </c>
      <c r="H71" s="10">
        <f t="shared" si="16"/>
        <v>0.45045912614237549</v>
      </c>
      <c r="M71">
        <v>-0.26</v>
      </c>
      <c r="N71" s="1" t="s">
        <v>148</v>
      </c>
      <c r="U71" t="s">
        <v>170</v>
      </c>
      <c r="V71" t="s">
        <v>171</v>
      </c>
    </row>
    <row r="72" spans="1:22">
      <c r="A72" t="s">
        <v>149</v>
      </c>
      <c r="B72" t="s">
        <v>343</v>
      </c>
      <c r="C72" t="s">
        <v>329</v>
      </c>
      <c r="D72" t="s">
        <v>262</v>
      </c>
      <c r="E72" t="s">
        <v>228</v>
      </c>
      <c r="F72" s="10" t="str">
        <f t="shared" si="12"/>
        <v/>
      </c>
      <c r="G72" s="10" t="str">
        <f t="shared" si="12"/>
        <v/>
      </c>
      <c r="H72" s="10">
        <f t="shared" si="16"/>
        <v>0.32391702460801819</v>
      </c>
      <c r="M72">
        <v>-0.17</v>
      </c>
      <c r="N72" s="1" t="s">
        <v>229</v>
      </c>
    </row>
    <row r="73" spans="1:22">
      <c r="A73" t="s">
        <v>149</v>
      </c>
      <c r="B73" t="s">
        <v>343</v>
      </c>
      <c r="C73" t="s">
        <v>329</v>
      </c>
      <c r="D73" t="s">
        <v>262</v>
      </c>
      <c r="E73" t="s">
        <v>226</v>
      </c>
      <c r="F73" s="10" t="str">
        <f t="shared" si="12"/>
        <v/>
      </c>
      <c r="G73" s="10" t="str">
        <f t="shared" si="12"/>
        <v/>
      </c>
      <c r="H73" s="10">
        <f t="shared" si="16"/>
        <v>0.41115634464441109</v>
      </c>
      <c r="M73">
        <v>-0.23</v>
      </c>
      <c r="N73" s="1" t="s">
        <v>229</v>
      </c>
    </row>
    <row r="74" spans="1:22">
      <c r="A74" t="s">
        <v>149</v>
      </c>
      <c r="B74" t="s">
        <v>343</v>
      </c>
      <c r="C74" t="s">
        <v>329</v>
      </c>
      <c r="D74" t="s">
        <v>262</v>
      </c>
      <c r="E74" t="s">
        <v>257</v>
      </c>
      <c r="F74" s="10" t="str">
        <f t="shared" si="12"/>
        <v/>
      </c>
      <c r="G74" s="10">
        <f t="shared" si="12"/>
        <v>0.43765867480965093</v>
      </c>
      <c r="H74" s="10">
        <f t="shared" si="16"/>
        <v>0.6018928294465028</v>
      </c>
      <c r="I74">
        <v>0.61499999999999999</v>
      </c>
      <c r="J74">
        <v>0.38500000000000001</v>
      </c>
      <c r="L74">
        <v>-0.25</v>
      </c>
      <c r="M74">
        <v>-0.4</v>
      </c>
      <c r="N74" s="1" t="s">
        <v>261</v>
      </c>
    </row>
    <row r="75" spans="1:22">
      <c r="A75" t="s">
        <v>149</v>
      </c>
      <c r="B75" t="s">
        <v>343</v>
      </c>
      <c r="C75" t="s">
        <v>329</v>
      </c>
      <c r="D75" t="s">
        <v>262</v>
      </c>
      <c r="E75" t="s">
        <v>258</v>
      </c>
      <c r="F75" s="10" t="str">
        <f t="shared" si="12"/>
        <v/>
      </c>
      <c r="G75" s="10">
        <f t="shared" si="12"/>
        <v>0.54291181038512493</v>
      </c>
      <c r="H75" s="10">
        <f t="shared" si="16"/>
        <v>0.65326314954746834</v>
      </c>
      <c r="I75">
        <v>0.57499999999999996</v>
      </c>
      <c r="J75">
        <f>1-I75</f>
        <v>0.42500000000000004</v>
      </c>
      <c r="L75">
        <v>-0.34</v>
      </c>
      <c r="M75">
        <v>-0.46</v>
      </c>
      <c r="N75" s="1" t="s">
        <v>261</v>
      </c>
    </row>
    <row r="76" spans="1:22">
      <c r="A76" t="s">
        <v>149</v>
      </c>
      <c r="B76" t="s">
        <v>343</v>
      </c>
      <c r="C76" t="s">
        <v>329</v>
      </c>
      <c r="D76" t="s">
        <v>262</v>
      </c>
      <c r="E76" t="s">
        <v>259</v>
      </c>
      <c r="F76" s="10" t="str">
        <f t="shared" si="12"/>
        <v/>
      </c>
      <c r="G76" s="10">
        <f t="shared" si="12"/>
        <v>0.6018928294465028</v>
      </c>
      <c r="H76" s="10">
        <f t="shared" si="16"/>
        <v>0.65326314954746834</v>
      </c>
      <c r="I76">
        <v>0.53500000000000003</v>
      </c>
      <c r="J76">
        <f>1-I76</f>
        <v>0.46499999999999997</v>
      </c>
      <c r="L76">
        <v>-0.4</v>
      </c>
      <c r="M76">
        <v>-0.46</v>
      </c>
      <c r="N76" s="1" t="s">
        <v>261</v>
      </c>
    </row>
    <row r="77" spans="1:22">
      <c r="A77" t="s">
        <v>149</v>
      </c>
      <c r="B77" t="s">
        <v>343</v>
      </c>
      <c r="C77" t="s">
        <v>329</v>
      </c>
      <c r="D77" t="s">
        <v>262</v>
      </c>
      <c r="E77" t="s">
        <v>260</v>
      </c>
      <c r="F77" s="10" t="str">
        <f t="shared" si="12"/>
        <v/>
      </c>
      <c r="G77" s="10">
        <f t="shared" si="12"/>
        <v>0.78620379104977689</v>
      </c>
      <c r="H77" s="10">
        <f t="shared" si="16"/>
        <v>0.81379128633371334</v>
      </c>
      <c r="I77">
        <v>0.52100000000000002</v>
      </c>
      <c r="J77">
        <f>1-I77</f>
        <v>0.47899999999999998</v>
      </c>
      <c r="L77">
        <v>-0.67</v>
      </c>
      <c r="M77">
        <v>-0.73</v>
      </c>
      <c r="N77" s="1" t="s">
        <v>261</v>
      </c>
    </row>
    <row r="78" spans="1:22">
      <c r="A78" t="s">
        <v>149</v>
      </c>
      <c r="B78" t="s">
        <v>302</v>
      </c>
      <c r="C78" t="s">
        <v>303</v>
      </c>
      <c r="D78" t="s">
        <v>264</v>
      </c>
      <c r="F78" s="10" t="str">
        <f t="shared" si="12"/>
        <v/>
      </c>
      <c r="G78" s="10" t="str">
        <f t="shared" si="12"/>
        <v/>
      </c>
      <c r="H78" s="10">
        <f t="shared" si="16"/>
        <v>0.11284398796203921</v>
      </c>
      <c r="M78">
        <v>-5.1999999999999998E-2</v>
      </c>
      <c r="N78" s="1" t="s">
        <v>266</v>
      </c>
    </row>
    <row r="79" spans="1:22">
      <c r="A79" t="s">
        <v>149</v>
      </c>
      <c r="B79" t="s">
        <v>344</v>
      </c>
      <c r="C79" t="s">
        <v>329</v>
      </c>
      <c r="D79" t="s">
        <v>262</v>
      </c>
      <c r="E79" t="s">
        <v>265</v>
      </c>
      <c r="F79" s="10">
        <f t="shared" si="12"/>
        <v>0.54185811328546651</v>
      </c>
      <c r="G79" s="10">
        <f t="shared" si="12"/>
        <v>0.58600032518026968</v>
      </c>
      <c r="H79" s="10">
        <f t="shared" si="16"/>
        <v>0.42720396901417079</v>
      </c>
      <c r="K79">
        <v>-0.33900000000000002</v>
      </c>
      <c r="L79">
        <v>-0.38300000000000001</v>
      </c>
      <c r="M79">
        <v>-0.24199999999999999</v>
      </c>
      <c r="N79" s="1" t="s">
        <v>266</v>
      </c>
    </row>
    <row r="80" spans="1:22">
      <c r="A80" t="s">
        <v>149</v>
      </c>
      <c r="B80" t="s">
        <v>344</v>
      </c>
      <c r="C80" t="s">
        <v>329</v>
      </c>
      <c r="D80" t="s">
        <v>262</v>
      </c>
      <c r="E80" t="s">
        <v>268</v>
      </c>
      <c r="F80" s="10" t="str">
        <f t="shared" si="12"/>
        <v/>
      </c>
      <c r="G80" s="10">
        <f t="shared" si="12"/>
        <v>0.17014923248557756</v>
      </c>
      <c r="H80" s="10">
        <f t="shared" si="16"/>
        <v>0.22375288337130828</v>
      </c>
      <c r="L80">
        <v>-8.1000000000000003E-2</v>
      </c>
      <c r="M80">
        <v>-0.11</v>
      </c>
      <c r="N80" s="1" t="s">
        <v>267</v>
      </c>
    </row>
    <row r="81" spans="1:14">
      <c r="A81" t="s">
        <v>149</v>
      </c>
      <c r="B81" t="s">
        <v>344</v>
      </c>
      <c r="C81" t="s">
        <v>329</v>
      </c>
      <c r="D81" t="s">
        <v>264</v>
      </c>
      <c r="E81" t="s">
        <v>264</v>
      </c>
      <c r="F81" s="10" t="str">
        <f t="shared" si="12"/>
        <v/>
      </c>
      <c r="G81" s="10">
        <f t="shared" si="12"/>
        <v>0.20200531273202349</v>
      </c>
      <c r="H81" s="10">
        <f t="shared" si="16"/>
        <v>0.21657035723378826</v>
      </c>
      <c r="L81">
        <v>-9.8000000000000004E-2</v>
      </c>
      <c r="M81">
        <v>-0.106</v>
      </c>
      <c r="N81" s="1" t="s">
        <v>267</v>
      </c>
    </row>
    <row r="82" spans="1:14">
      <c r="A82" t="s">
        <v>149</v>
      </c>
      <c r="B82" t="s">
        <v>345</v>
      </c>
      <c r="C82" t="s">
        <v>329</v>
      </c>
      <c r="D82" t="s">
        <v>262</v>
      </c>
      <c r="E82" t="s">
        <v>270</v>
      </c>
      <c r="F82" s="10" t="str">
        <f t="shared" si="12"/>
        <v/>
      </c>
      <c r="G82" s="10">
        <f t="shared" si="12"/>
        <v>0.21295421030490147</v>
      </c>
      <c r="H82" s="10">
        <f t="shared" si="16"/>
        <v>0.6476291289575129</v>
      </c>
      <c r="L82">
        <v>-0.104</v>
      </c>
      <c r="M82">
        <v>-0.45300000000000001</v>
      </c>
      <c r="N82" s="1" t="s">
        <v>269</v>
      </c>
    </row>
    <row r="83" spans="1:14">
      <c r="A83" t="s">
        <v>287</v>
      </c>
      <c r="B83" t="s">
        <v>346</v>
      </c>
      <c r="C83" t="s">
        <v>329</v>
      </c>
      <c r="D83" t="s">
        <v>347</v>
      </c>
      <c r="E83" t="s">
        <v>289</v>
      </c>
      <c r="F83" s="10" t="str">
        <f t="shared" si="12"/>
        <v/>
      </c>
      <c r="G83" s="10" t="str">
        <f t="shared" si="12"/>
        <v/>
      </c>
      <c r="H83" s="10">
        <f t="shared" si="16"/>
        <v>0.39326367041149468</v>
      </c>
      <c r="M83">
        <v>-0.217</v>
      </c>
      <c r="N83" s="1" t="s">
        <v>288</v>
      </c>
    </row>
    <row r="84" spans="1:14">
      <c r="A84" t="s">
        <v>904</v>
      </c>
      <c r="E84" t="s">
        <v>906</v>
      </c>
      <c r="F84" s="10">
        <f t="shared" ref="F84" si="17">IF(K84="", "",(1-10^K84))</f>
        <v>0.10874906186625455</v>
      </c>
      <c r="G84" s="10">
        <f t="shared" ref="G84" si="18">IF(L84="", "",(1-10^L84))</f>
        <v>0.16054001348060265</v>
      </c>
      <c r="H84" s="10">
        <f t="shared" ref="H84" si="19">IF(M84="", "",(1-10^M84))</f>
        <v>0.19647387781438286</v>
      </c>
      <c r="K84">
        <v>-0.05</v>
      </c>
      <c r="L84">
        <v>-7.5999999999999998E-2</v>
      </c>
      <c r="M84">
        <v>-9.5000000000000001E-2</v>
      </c>
      <c r="N84" s="1" t="s">
        <v>905</v>
      </c>
    </row>
    <row r="86" spans="1:14">
      <c r="F86" t="s">
        <v>359</v>
      </c>
      <c r="I86" t="s">
        <v>360</v>
      </c>
    </row>
    <row r="87" spans="1:14">
      <c r="E87" s="8" t="s">
        <v>357</v>
      </c>
      <c r="F87" s="15">
        <f>MEDIAN(F91:F135)</f>
        <v>0.32391702460801819</v>
      </c>
      <c r="G87" s="15">
        <f>MEDIAN(G91:G126)</f>
        <v>0.13693909328509379</v>
      </c>
      <c r="I87" s="15">
        <f>MEDIAN(I91:I135)</f>
        <v>0.66999999999999993</v>
      </c>
      <c r="J87" s="15">
        <f>MEDIAN(J91:J125)</f>
        <v>0.62</v>
      </c>
    </row>
    <row r="88" spans="1:14">
      <c r="E88" s="8" t="s">
        <v>358</v>
      </c>
      <c r="F88" s="15">
        <f>AVERAGE(F91:F135)</f>
        <v>0.34675880936402842</v>
      </c>
      <c r="G88" s="15">
        <f>AVERAGE(G91:G126)</f>
        <v>0.22769555494839105</v>
      </c>
      <c r="I88" s="15">
        <f>AVERAGE(I91:I135)</f>
        <v>0.64699999999999991</v>
      </c>
      <c r="J88" s="15">
        <f>AVERAGE(J91:J125)</f>
        <v>0.56866666666666665</v>
      </c>
    </row>
    <row r="89" spans="1:14">
      <c r="F89" s="11"/>
      <c r="H89" s="11"/>
      <c r="J89" s="8"/>
      <c r="K89" s="9"/>
    </row>
    <row r="90" spans="1:14">
      <c r="J90" s="8"/>
      <c r="K90" s="9"/>
    </row>
    <row r="91" spans="1:14">
      <c r="F91" s="10">
        <v>0.10463523445040623</v>
      </c>
      <c r="G91" s="10">
        <v>1.4401576843404484E-2</v>
      </c>
      <c r="I91" s="14">
        <v>0.5</v>
      </c>
      <c r="J91" s="14">
        <v>0.27</v>
      </c>
    </row>
    <row r="92" spans="1:14">
      <c r="F92" s="10">
        <v>4.5007413978564115E-2</v>
      </c>
      <c r="G92" s="10">
        <v>1.6894784718230693E-2</v>
      </c>
      <c r="I92" s="14">
        <v>0.52</v>
      </c>
      <c r="J92" s="14">
        <v>0.32</v>
      </c>
    </row>
    <row r="93" spans="1:14">
      <c r="F93" s="10">
        <v>6.674569920300899E-2</v>
      </c>
      <c r="G93" s="10">
        <v>2.7252776223034902E-2</v>
      </c>
      <c r="I93" s="14">
        <v>0.56999999999999995</v>
      </c>
      <c r="J93" s="14">
        <v>0.41</v>
      </c>
    </row>
    <row r="94" spans="1:14">
      <c r="F94" s="10">
        <v>7.3170176620650729E-2</v>
      </c>
      <c r="G94" s="10">
        <v>3.8387721616335413E-2</v>
      </c>
      <c r="I94" s="14">
        <v>0.64</v>
      </c>
      <c r="J94" s="14">
        <v>0.49</v>
      </c>
    </row>
    <row r="95" spans="1:14">
      <c r="F95" s="10">
        <v>9.0086727367748476E-2</v>
      </c>
      <c r="G95" s="10">
        <v>3.8387721616335413E-2</v>
      </c>
      <c r="I95" s="14">
        <v>0.65</v>
      </c>
      <c r="J95" s="14">
        <v>0.53</v>
      </c>
    </row>
    <row r="96" spans="1:14">
      <c r="F96" s="10">
        <v>0.16054001348060265</v>
      </c>
      <c r="G96" s="10">
        <v>5.3762838634206944E-2</v>
      </c>
      <c r="I96" s="14">
        <v>0.69</v>
      </c>
      <c r="J96" s="14">
        <v>0.54</v>
      </c>
    </row>
    <row r="97" spans="6:10">
      <c r="F97" s="10">
        <v>0.19647387781438286</v>
      </c>
      <c r="G97" s="10">
        <v>5.8099999999999999E-2</v>
      </c>
      <c r="I97" s="14">
        <v>0.7</v>
      </c>
      <c r="J97" s="14">
        <v>0.57999999999999996</v>
      </c>
    </row>
    <row r="98" spans="6:10">
      <c r="F98" s="10">
        <v>0.20567176527571851</v>
      </c>
      <c r="G98" s="10">
        <v>5.8110403477158568E-2</v>
      </c>
      <c r="I98" s="14">
        <v>0.72</v>
      </c>
      <c r="J98" s="14">
        <v>0.62</v>
      </c>
    </row>
    <row r="99" spans="6:10">
      <c r="F99" s="10">
        <v>0.21113988238144554</v>
      </c>
      <c r="G99" s="10">
        <v>6.674569920300899E-2</v>
      </c>
      <c r="I99" s="14">
        <v>0.73</v>
      </c>
      <c r="J99" s="14">
        <v>0.62</v>
      </c>
    </row>
    <row r="100" spans="6:10">
      <c r="F100" s="10">
        <v>0.22375288337130828</v>
      </c>
      <c r="G100" s="10">
        <v>8.018603273037439E-2</v>
      </c>
      <c r="I100" s="14">
        <v>0.75</v>
      </c>
      <c r="J100" s="14">
        <v>0.63</v>
      </c>
    </row>
    <row r="101" spans="6:10">
      <c r="F101" s="10">
        <v>0.22375288337130828</v>
      </c>
      <c r="G101" s="10">
        <v>9.2179469821814242E-2</v>
      </c>
      <c r="I101" s="14"/>
      <c r="J101" s="14">
        <v>0.64</v>
      </c>
    </row>
    <row r="102" spans="6:10">
      <c r="F102" s="10">
        <v>0.25868975869908262</v>
      </c>
      <c r="G102" s="10">
        <v>0.10257120549925158</v>
      </c>
      <c r="I102" s="14"/>
      <c r="J102" s="14">
        <v>0.66</v>
      </c>
    </row>
    <row r="103" spans="6:10">
      <c r="F103" s="10">
        <v>0.25868975869908262</v>
      </c>
      <c r="G103" s="10">
        <v>0.10874906186625455</v>
      </c>
      <c r="I103" s="14"/>
      <c r="J103" s="14">
        <v>0.71</v>
      </c>
    </row>
    <row r="104" spans="6:10">
      <c r="F104" s="10">
        <v>0.25868975869908262</v>
      </c>
      <c r="G104" s="10">
        <v>0.10874906186625455</v>
      </c>
      <c r="I104" s="17"/>
      <c r="J104" s="14">
        <v>0.73</v>
      </c>
    </row>
    <row r="105" spans="6:10">
      <c r="F105" s="10">
        <v>0.26717546686109594</v>
      </c>
      <c r="G105" s="10">
        <v>0.11079888214205147</v>
      </c>
      <c r="I105" s="14"/>
      <c r="J105" s="14">
        <v>0.78</v>
      </c>
    </row>
    <row r="106" spans="6:10">
      <c r="F106" s="10">
        <v>0.29205421561586209</v>
      </c>
      <c r="G106" s="10">
        <v>0.11284398796203921</v>
      </c>
      <c r="I106" s="14"/>
      <c r="J106" s="14"/>
    </row>
    <row r="107" spans="6:10">
      <c r="F107" s="10">
        <v>0.29205421561586209</v>
      </c>
      <c r="G107" s="10">
        <v>0.11890000000000001</v>
      </c>
      <c r="I107" s="14"/>
      <c r="J107" s="14"/>
    </row>
    <row r="108" spans="6:10">
      <c r="F108" s="10">
        <v>0.29205421561586209</v>
      </c>
      <c r="G108" s="10">
        <v>0.12501622477256402</v>
      </c>
      <c r="I108" s="14"/>
      <c r="J108" s="14"/>
    </row>
    <row r="109" spans="6:10">
      <c r="F109" s="10">
        <v>0.30816902908106347</v>
      </c>
      <c r="G109" s="10">
        <v>0.14886196179762357</v>
      </c>
      <c r="I109" s="16"/>
      <c r="J109" s="14"/>
    </row>
    <row r="110" spans="6:10">
      <c r="F110" s="10">
        <v>0.30816902908106347</v>
      </c>
      <c r="G110" s="10">
        <v>0.15666524223572464</v>
      </c>
      <c r="I110" s="14"/>
      <c r="J110" s="14"/>
    </row>
    <row r="111" spans="6:10">
      <c r="F111" s="10">
        <v>0.30816902908106347</v>
      </c>
      <c r="G111" s="10">
        <v>0.17775735005292892</v>
      </c>
      <c r="I111" s="18"/>
      <c r="J111" s="14"/>
    </row>
    <row r="112" spans="6:10">
      <c r="F112" s="10">
        <v>0.30816902908106347</v>
      </c>
      <c r="G112" s="10">
        <v>0.20384064958268122</v>
      </c>
      <c r="I112" s="14"/>
      <c r="J112" s="14"/>
    </row>
    <row r="113" spans="6:10">
      <c r="F113" s="10">
        <v>0.32391702460801819</v>
      </c>
      <c r="G113" s="10">
        <v>0.26818720232554438</v>
      </c>
      <c r="I113" s="14"/>
      <c r="J113" s="14"/>
    </row>
    <row r="114" spans="6:10">
      <c r="F114" s="10">
        <v>0.32391702460801819</v>
      </c>
      <c r="G114" s="10">
        <v>0.28389999999999999</v>
      </c>
      <c r="I114" s="14"/>
      <c r="J114" s="14"/>
    </row>
    <row r="115" spans="6:10">
      <c r="F115" s="10">
        <v>0.339306551992404</v>
      </c>
      <c r="G115" s="10">
        <v>0.28550367392448661</v>
      </c>
      <c r="I115" s="14"/>
    </row>
    <row r="116" spans="6:10">
      <c r="F116" s="10">
        <v>0.339306551992404</v>
      </c>
      <c r="G116" s="10">
        <v>0.29368244573703806</v>
      </c>
      <c r="I116" s="14"/>
    </row>
    <row r="117" spans="6:10">
      <c r="F117" s="10">
        <v>0.35434577096534459</v>
      </c>
      <c r="G117" s="10">
        <v>0.32391702460801819</v>
      </c>
    </row>
    <row r="118" spans="6:10">
      <c r="F118" s="10">
        <v>0.39744041392564222</v>
      </c>
      <c r="G118" s="10">
        <v>0.39882626251672204</v>
      </c>
    </row>
    <row r="119" spans="6:10">
      <c r="F119" s="10">
        <v>0.41115634464441109</v>
      </c>
      <c r="G119" s="10">
        <v>0.41386183548597133</v>
      </c>
    </row>
    <row r="120" spans="6:10">
      <c r="F120" s="10">
        <v>0.41115634464441109</v>
      </c>
      <c r="G120" s="10">
        <v>0.43245539459145288</v>
      </c>
    </row>
    <row r="121" spans="6:10">
      <c r="F121" s="10">
        <v>0.42456006266284307</v>
      </c>
      <c r="G121" s="10">
        <v>0.47033655610834224</v>
      </c>
    </row>
    <row r="122" spans="6:10">
      <c r="F122" s="10">
        <v>0.43765867480965093</v>
      </c>
      <c r="G122" s="10">
        <v>0.51022118063155386</v>
      </c>
    </row>
    <row r="123" spans="6:10">
      <c r="F123" s="10">
        <v>0.46296820362974733</v>
      </c>
      <c r="G123" s="10">
        <v>0.51359279430853844</v>
      </c>
      <c r="J123" t="s">
        <v>283</v>
      </c>
    </row>
    <row r="124" spans="6:10">
      <c r="F124" s="10">
        <v>0.48119996107103891</v>
      </c>
      <c r="G124" s="10">
        <v>0.57046357323511276</v>
      </c>
    </row>
    <row r="125" spans="6:10">
      <c r="F125" s="10">
        <v>0.48713861600863517</v>
      </c>
      <c r="G125" s="10">
        <v>0.68084621448992388</v>
      </c>
    </row>
    <row r="126" spans="6:10">
      <c r="F126" s="10">
        <v>0.48713861600863517</v>
      </c>
      <c r="G126" s="10">
        <v>0.73208316751809677</v>
      </c>
    </row>
    <row r="127" spans="6:10">
      <c r="F127" s="10">
        <v>0.48713861600863517</v>
      </c>
      <c r="G127" s="10" t="s">
        <v>283</v>
      </c>
    </row>
    <row r="128" spans="6:10">
      <c r="F128" s="10">
        <v>0.54185811328546651</v>
      </c>
      <c r="G128" s="10" t="s">
        <v>283</v>
      </c>
    </row>
    <row r="129" spans="6:7">
      <c r="F129" s="10">
        <v>0.54291181038512493</v>
      </c>
      <c r="G129" s="10" t="s">
        <v>283</v>
      </c>
    </row>
    <row r="130" spans="6:7">
      <c r="F130" s="10">
        <v>0.55639135606856749</v>
      </c>
      <c r="G130" s="10" t="s">
        <v>283</v>
      </c>
    </row>
    <row r="131" spans="6:7">
      <c r="F131" s="10">
        <v>0.55639135606856749</v>
      </c>
      <c r="G131" s="10" t="s">
        <v>283</v>
      </c>
    </row>
    <row r="132" spans="6:7">
      <c r="F132" s="10">
        <v>0.58313061652966458</v>
      </c>
      <c r="G132" s="10" t="s">
        <v>283</v>
      </c>
    </row>
    <row r="133" spans="6:7">
      <c r="F133" s="10">
        <v>0.58313061652966458</v>
      </c>
      <c r="G133" s="10" t="s">
        <v>283</v>
      </c>
    </row>
    <row r="134" spans="6:7">
      <c r="F134" s="10">
        <v>0.65005483297164279</v>
      </c>
      <c r="G134" s="10" t="s">
        <v>283</v>
      </c>
    </row>
    <row r="135" spans="6:7">
      <c r="F135" s="10">
        <v>0.66886887851740895</v>
      </c>
      <c r="G135" s="10" t="s">
        <v>283</v>
      </c>
    </row>
    <row r="136" spans="6:7">
      <c r="F136" t="s">
        <v>283</v>
      </c>
      <c r="G136" s="10" t="s">
        <v>283</v>
      </c>
    </row>
    <row r="137" spans="6:7">
      <c r="F137" s="10" t="s">
        <v>283</v>
      </c>
      <c r="G137" s="10" t="s">
        <v>283</v>
      </c>
    </row>
    <row r="138" spans="6:7">
      <c r="F138" s="10" t="s">
        <v>283</v>
      </c>
      <c r="G138" s="10" t="s">
        <v>283</v>
      </c>
    </row>
    <row r="139" spans="6:7">
      <c r="F139" s="10" t="s">
        <v>283</v>
      </c>
      <c r="G139" s="10" t="s">
        <v>283</v>
      </c>
    </row>
    <row r="140" spans="6:7">
      <c r="F140" s="10" t="s">
        <v>283</v>
      </c>
      <c r="G140" s="10" t="s">
        <v>283</v>
      </c>
    </row>
    <row r="141" spans="6:7">
      <c r="F141" s="10" t="s">
        <v>283</v>
      </c>
      <c r="G141" s="10" t="s">
        <v>283</v>
      </c>
    </row>
    <row r="142" spans="6:7">
      <c r="F142" s="10" t="s">
        <v>283</v>
      </c>
      <c r="G142" s="10" t="s">
        <v>283</v>
      </c>
    </row>
    <row r="143" spans="6:7">
      <c r="F143" s="10" t="s">
        <v>283</v>
      </c>
      <c r="G143" s="10" t="s">
        <v>283</v>
      </c>
    </row>
    <row r="144" spans="6:7">
      <c r="F144" s="10" t="s">
        <v>283</v>
      </c>
      <c r="G144" s="10" t="s">
        <v>283</v>
      </c>
    </row>
    <row r="145" spans="6:7">
      <c r="F145" s="10" t="s">
        <v>283</v>
      </c>
      <c r="G145" s="10" t="s">
        <v>283</v>
      </c>
    </row>
    <row r="146" spans="6:7">
      <c r="F146" s="10" t="s">
        <v>283</v>
      </c>
      <c r="G146" s="10" t="s">
        <v>283</v>
      </c>
    </row>
    <row r="147" spans="6:7">
      <c r="F147" s="10" t="s">
        <v>283</v>
      </c>
      <c r="G147" s="10" t="s">
        <v>283</v>
      </c>
    </row>
    <row r="148" spans="6:7">
      <c r="F148" s="10" t="s">
        <v>283</v>
      </c>
      <c r="G148" s="10" t="s">
        <v>283</v>
      </c>
    </row>
    <row r="149" spans="6:7">
      <c r="F149" s="10" t="s">
        <v>283</v>
      </c>
      <c r="G149" s="10" t="s">
        <v>283</v>
      </c>
    </row>
    <row r="150" spans="6:7">
      <c r="F150" s="10" t="s">
        <v>283</v>
      </c>
      <c r="G150" s="10" t="s">
        <v>283</v>
      </c>
    </row>
    <row r="151" spans="6:7">
      <c r="F151" t="s">
        <v>283</v>
      </c>
      <c r="G151" s="10" t="s">
        <v>283</v>
      </c>
    </row>
    <row r="152" spans="6:7">
      <c r="F152" t="s">
        <v>283</v>
      </c>
      <c r="G152" s="10" t="s">
        <v>283</v>
      </c>
    </row>
    <row r="153" spans="6:7">
      <c r="F153" t="s">
        <v>283</v>
      </c>
      <c r="G153" s="10" t="s">
        <v>283</v>
      </c>
    </row>
    <row r="154" spans="6:7">
      <c r="F154" t="s">
        <v>283</v>
      </c>
      <c r="G154" s="10" t="s">
        <v>283</v>
      </c>
    </row>
    <row r="155" spans="6:7">
      <c r="F155" t="s">
        <v>283</v>
      </c>
      <c r="G155" s="10" t="s">
        <v>283</v>
      </c>
    </row>
    <row r="156" spans="6:7">
      <c r="F156" t="s">
        <v>283</v>
      </c>
      <c r="G156" s="10" t="s">
        <v>283</v>
      </c>
    </row>
    <row r="157" spans="6:7">
      <c r="F157" t="s">
        <v>283</v>
      </c>
      <c r="G157" s="10" t="s">
        <v>283</v>
      </c>
    </row>
    <row r="158" spans="6:7">
      <c r="F158" t="s">
        <v>283</v>
      </c>
      <c r="G158" s="10" t="s">
        <v>283</v>
      </c>
    </row>
    <row r="159" spans="6:7">
      <c r="F159" s="11" t="s">
        <v>283</v>
      </c>
      <c r="G159" s="10" t="s">
        <v>283</v>
      </c>
    </row>
    <row r="160" spans="6:7">
      <c r="F160" s="11" t="s">
        <v>283</v>
      </c>
      <c r="G160" s="10" t="s">
        <v>283</v>
      </c>
    </row>
    <row r="161" spans="6:7">
      <c r="F161" s="11" t="s">
        <v>283</v>
      </c>
      <c r="G161" s="10" t="s">
        <v>283</v>
      </c>
    </row>
    <row r="162" spans="6:7">
      <c r="F162" s="11" t="s">
        <v>283</v>
      </c>
      <c r="G162" s="10" t="s">
        <v>283</v>
      </c>
    </row>
    <row r="163" spans="6:7">
      <c r="F163" s="11" t="s">
        <v>283</v>
      </c>
      <c r="G163" s="10" t="s">
        <v>283</v>
      </c>
    </row>
    <row r="164" spans="6:7">
      <c r="F164" s="11" t="s">
        <v>283</v>
      </c>
      <c r="G164" s="10" t="s">
        <v>283</v>
      </c>
    </row>
    <row r="165" spans="6:7">
      <c r="F165" s="11" t="s">
        <v>283</v>
      </c>
      <c r="G165" s="10" t="s">
        <v>283</v>
      </c>
    </row>
    <row r="166" spans="6:7">
      <c r="F166" s="11" t="s">
        <v>283</v>
      </c>
      <c r="G166" s="10" t="s">
        <v>283</v>
      </c>
    </row>
    <row r="167" spans="6:7">
      <c r="F167" s="11" t="s">
        <v>283</v>
      </c>
      <c r="G167" s="10" t="s">
        <v>283</v>
      </c>
    </row>
    <row r="168" spans="6:7">
      <c r="F168" s="11" t="s">
        <v>283</v>
      </c>
      <c r="G168" s="10" t="s">
        <v>283</v>
      </c>
    </row>
    <row r="169" spans="6:7">
      <c r="F169" s="11" t="s">
        <v>283</v>
      </c>
      <c r="G169" s="10" t="s">
        <v>283</v>
      </c>
    </row>
    <row r="170" spans="6:7">
      <c r="F170" s="11" t="s">
        <v>283</v>
      </c>
      <c r="G170" s="10" t="s">
        <v>283</v>
      </c>
    </row>
    <row r="171" spans="6:7">
      <c r="F171" s="11" t="s">
        <v>283</v>
      </c>
      <c r="G171" s="10" t="s">
        <v>283</v>
      </c>
    </row>
    <row r="172" spans="6:7">
      <c r="F172" s="10" t="s">
        <v>283</v>
      </c>
      <c r="G172" s="10" t="s">
        <v>283</v>
      </c>
    </row>
    <row r="173" spans="6:7">
      <c r="F173" s="10" t="s">
        <v>283</v>
      </c>
      <c r="G173" s="10" t="s">
        <v>283</v>
      </c>
    </row>
    <row r="174" spans="6:7">
      <c r="F174" t="s">
        <v>283</v>
      </c>
      <c r="G174" s="10" t="s">
        <v>283</v>
      </c>
    </row>
    <row r="175" spans="6:7">
      <c r="F175" s="11" t="s">
        <v>283</v>
      </c>
      <c r="G175" s="10" t="s">
        <v>283</v>
      </c>
    </row>
    <row r="176" spans="6:7">
      <c r="F176" s="11" t="s">
        <v>283</v>
      </c>
      <c r="G176" s="10" t="s">
        <v>283</v>
      </c>
    </row>
    <row r="179" spans="8:8">
      <c r="H179" t="s">
        <v>283</v>
      </c>
    </row>
    <row r="180" spans="8:8">
      <c r="H180" t="s">
        <v>283</v>
      </c>
    </row>
  </sheetData>
  <sortState xmlns:xlrd2="http://schemas.microsoft.com/office/spreadsheetml/2017/richdata2" ref="J91:J114">
    <sortCondition ref="J91:J114"/>
  </sortState>
  <mergeCells count="3">
    <mergeCell ref="I1:J1"/>
    <mergeCell ref="K1:M1"/>
    <mergeCell ref="F1:H1"/>
  </mergeCells>
  <hyperlinks>
    <hyperlink ref="N36" r:id="rId1" xr:uid="{6D20D1CB-8F81-5440-8A97-7545B3B7EF09}"/>
    <hyperlink ref="N39" r:id="rId2" xr:uid="{8F9FC929-937A-904B-87D2-2D9551918B9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4113-3335-634A-9F3E-8ED9E0445664}">
  <dimension ref="A1:AC90"/>
  <sheetViews>
    <sheetView zoomScale="108" workbookViewId="0">
      <selection activeCell="B39" sqref="B39"/>
    </sheetView>
  </sheetViews>
  <sheetFormatPr baseColWidth="10" defaultRowHeight="16"/>
  <cols>
    <col min="1" max="1" width="21.33203125" customWidth="1"/>
    <col min="2" max="2" width="11.83203125" bestFit="1" customWidth="1"/>
    <col min="3" max="3" width="11" bestFit="1" customWidth="1"/>
    <col min="4" max="4" width="14.33203125" customWidth="1"/>
    <col min="5" max="5" width="11" bestFit="1" customWidth="1"/>
    <col min="8" max="8" width="11.33203125" bestFit="1" customWidth="1"/>
    <col min="9" max="9" width="14.6640625" bestFit="1" customWidth="1"/>
    <col min="10" max="12" width="11" bestFit="1" customWidth="1"/>
    <col min="15" max="15" width="16.33203125" bestFit="1" customWidth="1"/>
    <col min="17" max="18" width="12.1640625" bestFit="1" customWidth="1"/>
    <col min="21" max="21" width="12.1640625" bestFit="1" customWidth="1"/>
    <col min="22" max="22" width="11.1640625" bestFit="1" customWidth="1"/>
    <col min="23" max="23" width="13.6640625" bestFit="1" customWidth="1"/>
    <col min="24" max="24" width="12.1640625" bestFit="1" customWidth="1"/>
  </cols>
  <sheetData>
    <row r="1" spans="1:29">
      <c r="A1" t="s">
        <v>68</v>
      </c>
      <c r="G1" t="s">
        <v>441</v>
      </c>
      <c r="U1" t="s">
        <v>442</v>
      </c>
    </row>
    <row r="2" spans="1:29">
      <c r="A2" s="2" t="s">
        <v>24</v>
      </c>
      <c r="B2" s="2" t="s">
        <v>25</v>
      </c>
      <c r="C2" s="2" t="s">
        <v>26</v>
      </c>
      <c r="D2" s="2" t="s">
        <v>27</v>
      </c>
      <c r="E2" s="2"/>
      <c r="G2" s="19" t="s">
        <v>398</v>
      </c>
      <c r="H2" s="19" t="s">
        <v>397</v>
      </c>
      <c r="I2" s="19" t="s">
        <v>396</v>
      </c>
      <c r="J2" s="19" t="s">
        <v>395</v>
      </c>
      <c r="K2" s="19" t="s">
        <v>394</v>
      </c>
      <c r="L2" s="19" t="s">
        <v>399</v>
      </c>
      <c r="M2" s="19" t="s">
        <v>393</v>
      </c>
      <c r="N2" s="19" t="s">
        <v>392</v>
      </c>
      <c r="U2" s="2" t="s">
        <v>398</v>
      </c>
      <c r="V2" s="2" t="s">
        <v>518</v>
      </c>
      <c r="W2" s="2" t="s">
        <v>531</v>
      </c>
      <c r="X2" s="2" t="s">
        <v>532</v>
      </c>
      <c r="Y2" s="2" t="s">
        <v>533</v>
      </c>
      <c r="Z2" s="2" t="s">
        <v>422</v>
      </c>
      <c r="AA2" s="2" t="s">
        <v>534</v>
      </c>
      <c r="AB2" s="2" t="s">
        <v>535</v>
      </c>
      <c r="AC2" s="2" t="s">
        <v>552</v>
      </c>
    </row>
    <row r="3" spans="1:29">
      <c r="A3" s="1" t="s">
        <v>28</v>
      </c>
      <c r="B3" t="s">
        <v>29</v>
      </c>
      <c r="C3" t="s">
        <v>30</v>
      </c>
      <c r="D3">
        <v>21.54</v>
      </c>
      <c r="G3" t="s">
        <v>391</v>
      </c>
      <c r="H3" t="s">
        <v>364</v>
      </c>
      <c r="I3">
        <v>3000000000</v>
      </c>
      <c r="J3">
        <v>1000000000000</v>
      </c>
      <c r="K3">
        <v>1.68E+22</v>
      </c>
      <c r="L3">
        <f>J3/I3</f>
        <v>333.33333333333331</v>
      </c>
      <c r="M3" t="s">
        <v>389</v>
      </c>
      <c r="N3" t="s">
        <v>388</v>
      </c>
      <c r="U3" t="s">
        <v>423</v>
      </c>
      <c r="V3" t="s">
        <v>536</v>
      </c>
      <c r="W3" s="25">
        <v>700000000</v>
      </c>
      <c r="X3" s="25">
        <v>9000000000000</v>
      </c>
      <c r="Y3" s="25">
        <v>9000000000000</v>
      </c>
      <c r="Z3" t="s">
        <v>424</v>
      </c>
      <c r="AA3" t="s">
        <v>537</v>
      </c>
      <c r="AB3" s="26">
        <v>3.7799999999999998E+22</v>
      </c>
      <c r="AC3">
        <f>X3/W3</f>
        <v>12857.142857142857</v>
      </c>
    </row>
    <row r="4" spans="1:29">
      <c r="A4" s="1" t="s">
        <v>31</v>
      </c>
      <c r="B4" t="s">
        <v>32</v>
      </c>
      <c r="C4" t="s">
        <v>33</v>
      </c>
      <c r="D4">
        <v>28.57</v>
      </c>
      <c r="G4" t="s">
        <v>390</v>
      </c>
      <c r="H4" t="s">
        <v>383</v>
      </c>
      <c r="I4">
        <v>6400000000</v>
      </c>
      <c r="J4">
        <v>350000000000</v>
      </c>
      <c r="K4">
        <v>1.34E+22</v>
      </c>
      <c r="L4">
        <f t="shared" ref="L4:L8" si="0">J4/I4</f>
        <v>54.6875</v>
      </c>
      <c r="M4" t="s">
        <v>389</v>
      </c>
      <c r="N4" t="s">
        <v>388</v>
      </c>
      <c r="U4" t="s">
        <v>425</v>
      </c>
      <c r="V4" t="s">
        <v>426</v>
      </c>
      <c r="W4" s="25">
        <v>6500000000</v>
      </c>
      <c r="X4" s="25">
        <v>2400000000000</v>
      </c>
      <c r="Y4" s="25">
        <v>2400000000000</v>
      </c>
      <c r="Z4" t="s">
        <v>427</v>
      </c>
      <c r="AA4" t="s">
        <v>538</v>
      </c>
      <c r="AB4" s="26">
        <v>9.3599999999999992E+22</v>
      </c>
      <c r="AC4">
        <f t="shared" ref="AC4:AC12" si="1">X4/W4</f>
        <v>369.23076923076923</v>
      </c>
    </row>
    <row r="5" spans="1:29">
      <c r="A5" s="1" t="s">
        <v>34</v>
      </c>
      <c r="B5" t="s">
        <v>35</v>
      </c>
      <c r="C5" t="s">
        <v>36</v>
      </c>
      <c r="D5">
        <v>19.440000000000001</v>
      </c>
      <c r="G5" t="s">
        <v>387</v>
      </c>
      <c r="H5" t="s">
        <v>383</v>
      </c>
      <c r="I5">
        <v>2700000000</v>
      </c>
      <c r="J5">
        <v>200000000000</v>
      </c>
      <c r="K5">
        <v>3.24E+21</v>
      </c>
      <c r="L5">
        <f t="shared" si="0"/>
        <v>74.074074074074076</v>
      </c>
      <c r="M5" t="s">
        <v>382</v>
      </c>
      <c r="N5" t="s">
        <v>386</v>
      </c>
      <c r="U5" t="s">
        <v>428</v>
      </c>
      <c r="V5" t="s">
        <v>539</v>
      </c>
      <c r="W5" s="25">
        <v>1200000000</v>
      </c>
      <c r="X5" s="25">
        <v>370000000000</v>
      </c>
      <c r="Y5" s="25">
        <v>2220000000000</v>
      </c>
      <c r="Z5" t="s">
        <v>430</v>
      </c>
      <c r="AA5" t="s">
        <v>540</v>
      </c>
      <c r="AB5" s="26">
        <v>2.664E+21</v>
      </c>
      <c r="AC5">
        <f t="shared" si="1"/>
        <v>308.33333333333331</v>
      </c>
    </row>
    <row r="6" spans="1:29">
      <c r="A6" s="1" t="s">
        <v>37</v>
      </c>
      <c r="B6" t="s">
        <v>38</v>
      </c>
      <c r="C6" t="s">
        <v>39</v>
      </c>
      <c r="D6">
        <v>41.67</v>
      </c>
      <c r="G6" t="s">
        <v>385</v>
      </c>
      <c r="H6" t="s">
        <v>383</v>
      </c>
      <c r="I6">
        <v>764000000</v>
      </c>
      <c r="J6">
        <v>175000000000</v>
      </c>
      <c r="K6">
        <v>8.022E+20</v>
      </c>
      <c r="L6">
        <f t="shared" si="0"/>
        <v>229.05759162303664</v>
      </c>
      <c r="M6" t="s">
        <v>382</v>
      </c>
      <c r="N6" t="s">
        <v>381</v>
      </c>
      <c r="U6" t="s">
        <v>431</v>
      </c>
      <c r="V6" t="s">
        <v>541</v>
      </c>
      <c r="W6" s="25">
        <v>500000000</v>
      </c>
      <c r="X6" s="25">
        <v>900000000000</v>
      </c>
      <c r="Y6" s="25">
        <v>5400000000000</v>
      </c>
      <c r="Z6" t="s">
        <v>432</v>
      </c>
      <c r="AA6" t="s">
        <v>542</v>
      </c>
      <c r="AB6" s="26">
        <v>2.7E+21</v>
      </c>
      <c r="AC6">
        <f t="shared" si="1"/>
        <v>1800</v>
      </c>
    </row>
    <row r="7" spans="1:29">
      <c r="A7" s="1" t="s">
        <v>40</v>
      </c>
      <c r="B7" t="s">
        <v>38</v>
      </c>
      <c r="C7" t="s">
        <v>41</v>
      </c>
      <c r="D7">
        <v>97.22</v>
      </c>
      <c r="G7" t="s">
        <v>384</v>
      </c>
      <c r="H7" t="s">
        <v>383</v>
      </c>
      <c r="I7">
        <v>151000000</v>
      </c>
      <c r="J7">
        <v>175000000000</v>
      </c>
      <c r="K7">
        <v>1.5855E+20</v>
      </c>
      <c r="L7">
        <f t="shared" si="0"/>
        <v>1158.9403973509934</v>
      </c>
      <c r="M7" t="s">
        <v>382</v>
      </c>
      <c r="N7" t="s">
        <v>381</v>
      </c>
      <c r="U7" t="s">
        <v>433</v>
      </c>
      <c r="V7" t="s">
        <v>539</v>
      </c>
      <c r="W7" s="25">
        <v>2537000000</v>
      </c>
      <c r="X7" s="25">
        <v>300000000000</v>
      </c>
      <c r="Y7" s="25">
        <v>1800000000000</v>
      </c>
      <c r="Z7" t="s">
        <v>434</v>
      </c>
      <c r="AA7" t="s">
        <v>543</v>
      </c>
      <c r="AB7" s="26">
        <v>4.5670000000000003E+21</v>
      </c>
      <c r="AC7">
        <f t="shared" si="1"/>
        <v>118.24990145841545</v>
      </c>
    </row>
    <row r="8" spans="1:29">
      <c r="A8" s="1" t="s">
        <v>42</v>
      </c>
      <c r="B8" t="s">
        <v>32</v>
      </c>
      <c r="C8" t="s">
        <v>43</v>
      </c>
      <c r="D8">
        <v>214.29</v>
      </c>
      <c r="G8" t="s">
        <v>802</v>
      </c>
      <c r="I8">
        <v>12600000000</v>
      </c>
      <c r="J8">
        <v>1500000000000</v>
      </c>
      <c r="L8">
        <f t="shared" si="0"/>
        <v>119.04761904761905</v>
      </c>
      <c r="U8" t="s">
        <v>435</v>
      </c>
      <c r="V8" t="s">
        <v>544</v>
      </c>
      <c r="W8" s="25">
        <v>117000000</v>
      </c>
      <c r="X8" s="25">
        <v>262000000000</v>
      </c>
      <c r="Y8" t="s">
        <v>545</v>
      </c>
      <c r="Z8" t="s">
        <v>434</v>
      </c>
      <c r="AA8" t="s">
        <v>546</v>
      </c>
      <c r="AB8" s="26">
        <v>1.839E+20</v>
      </c>
      <c r="AC8">
        <f t="shared" si="1"/>
        <v>2239.3162393162393</v>
      </c>
    </row>
    <row r="9" spans="1:29">
      <c r="A9" s="1" t="s">
        <v>44</v>
      </c>
      <c r="B9" t="s">
        <v>45</v>
      </c>
      <c r="C9" t="s">
        <v>43</v>
      </c>
      <c r="D9">
        <v>37.04</v>
      </c>
      <c r="G9" t="s">
        <v>380</v>
      </c>
      <c r="H9" t="s">
        <v>379</v>
      </c>
      <c r="I9">
        <v>98000000000</v>
      </c>
      <c r="J9">
        <v>771000000000</v>
      </c>
      <c r="K9">
        <v>1.07E+24</v>
      </c>
      <c r="L9">
        <f>J9/I9</f>
        <v>7.8673469387755102</v>
      </c>
      <c r="M9" t="s">
        <v>378</v>
      </c>
      <c r="N9" t="s">
        <v>377</v>
      </c>
      <c r="U9" t="s">
        <v>436</v>
      </c>
      <c r="V9" t="s">
        <v>547</v>
      </c>
      <c r="W9" s="25">
        <v>89000000</v>
      </c>
      <c r="X9" s="25">
        <v>122000000000</v>
      </c>
      <c r="Y9" s="25">
        <v>122000000000</v>
      </c>
      <c r="Z9" t="s">
        <v>437</v>
      </c>
      <c r="AA9" t="s">
        <v>548</v>
      </c>
      <c r="AB9" s="26">
        <v>6.515E+19</v>
      </c>
      <c r="AC9">
        <f t="shared" si="1"/>
        <v>1370.7865168539327</v>
      </c>
    </row>
    <row r="10" spans="1:29">
      <c r="A10" s="1" t="s">
        <v>46</v>
      </c>
      <c r="B10" t="s">
        <v>47</v>
      </c>
      <c r="C10" t="s">
        <v>48</v>
      </c>
      <c r="D10">
        <v>26.47</v>
      </c>
      <c r="G10" t="s">
        <v>376</v>
      </c>
      <c r="H10" t="s">
        <v>375</v>
      </c>
      <c r="I10">
        <v>100000000000</v>
      </c>
      <c r="J10">
        <v>1000000000000</v>
      </c>
      <c r="K10">
        <v>6.0000000000000002E+23</v>
      </c>
      <c r="L10">
        <f>J10/I10</f>
        <v>10</v>
      </c>
      <c r="M10" t="s">
        <v>374</v>
      </c>
      <c r="N10" t="s">
        <v>373</v>
      </c>
      <c r="U10" t="s">
        <v>438</v>
      </c>
      <c r="V10" t="s">
        <v>426</v>
      </c>
      <c r="W10" s="25">
        <v>55000000</v>
      </c>
      <c r="X10" s="25">
        <v>3000000000</v>
      </c>
      <c r="Y10" s="25">
        <v>3000000000</v>
      </c>
      <c r="Z10" t="s">
        <v>427</v>
      </c>
      <c r="AA10" t="s">
        <v>549</v>
      </c>
      <c r="AB10" s="26">
        <v>9.9E+17</v>
      </c>
      <c r="AC10">
        <f t="shared" si="1"/>
        <v>54.545454545454547</v>
      </c>
    </row>
    <row r="11" spans="1:29">
      <c r="A11" s="22" t="s">
        <v>49</v>
      </c>
      <c r="B11" s="21" t="s">
        <v>38</v>
      </c>
      <c r="C11" s="21" t="s">
        <v>104</v>
      </c>
      <c r="D11" s="21">
        <v>250</v>
      </c>
      <c r="G11" t="s">
        <v>372</v>
      </c>
      <c r="H11" t="s">
        <v>371</v>
      </c>
      <c r="I11">
        <v>3000000000</v>
      </c>
      <c r="J11">
        <v>1015296000000</v>
      </c>
      <c r="K11">
        <v>1.8275328E+22</v>
      </c>
      <c r="L11">
        <f>J11/I11</f>
        <v>338.43200000000002</v>
      </c>
      <c r="M11" t="s">
        <v>370</v>
      </c>
      <c r="N11" t="s">
        <v>369</v>
      </c>
      <c r="U11" t="s">
        <v>439</v>
      </c>
      <c r="V11" t="s">
        <v>426</v>
      </c>
      <c r="W11" s="25">
        <v>8000000</v>
      </c>
      <c r="X11" s="25">
        <v>35000000000</v>
      </c>
      <c r="Y11" s="25">
        <v>35000000000</v>
      </c>
      <c r="Z11" t="s">
        <v>427</v>
      </c>
      <c r="AA11" t="s">
        <v>550</v>
      </c>
      <c r="AB11" s="26">
        <v>1.68E+18</v>
      </c>
      <c r="AC11">
        <f t="shared" si="1"/>
        <v>4375</v>
      </c>
    </row>
    <row r="12" spans="1:29">
      <c r="A12" t="s">
        <v>400</v>
      </c>
      <c r="D12" s="23">
        <f>AVERAGE(D3:D11)</f>
        <v>81.804444444444442</v>
      </c>
      <c r="G12" t="s">
        <v>368</v>
      </c>
      <c r="H12" t="s">
        <v>364</v>
      </c>
      <c r="I12">
        <v>420000000</v>
      </c>
      <c r="J12">
        <v>393000000000</v>
      </c>
      <c r="K12">
        <v>9.24336E+20</v>
      </c>
      <c r="L12">
        <f>J12/I12</f>
        <v>935.71428571428567</v>
      </c>
      <c r="M12" t="s">
        <v>367</v>
      </c>
      <c r="N12" t="s">
        <v>366</v>
      </c>
      <c r="U12" t="s">
        <v>440</v>
      </c>
      <c r="V12" t="s">
        <v>426</v>
      </c>
      <c r="W12" s="25">
        <v>252000000</v>
      </c>
      <c r="X12" s="25">
        <v>64000000000</v>
      </c>
      <c r="Y12" s="25">
        <v>64000000000</v>
      </c>
      <c r="Z12" t="s">
        <v>427</v>
      </c>
      <c r="AA12" t="s">
        <v>551</v>
      </c>
      <c r="AB12" s="26">
        <v>9.677E+19</v>
      </c>
      <c r="AC12">
        <f t="shared" si="1"/>
        <v>253.96825396825398</v>
      </c>
    </row>
    <row r="13" spans="1:29">
      <c r="G13" s="21" t="s">
        <v>365</v>
      </c>
      <c r="H13" s="21" t="s">
        <v>364</v>
      </c>
      <c r="I13" s="21">
        <v>650000000</v>
      </c>
      <c r="J13" s="21">
        <v>86000000000</v>
      </c>
      <c r="K13" s="21">
        <v>3.1304E+20</v>
      </c>
      <c r="L13" s="21">
        <f>J13/I13</f>
        <v>132.30769230769232</v>
      </c>
      <c r="M13" s="21" t="s">
        <v>363</v>
      </c>
      <c r="N13" s="21" t="s">
        <v>362</v>
      </c>
      <c r="AC13" s="20">
        <f>AVERAGE(AC3:AC12)</f>
        <v>2374.6573325849258</v>
      </c>
    </row>
    <row r="14" spans="1:29">
      <c r="A14" t="s">
        <v>67</v>
      </c>
      <c r="G14" t="s">
        <v>400</v>
      </c>
      <c r="L14" s="23">
        <f>AVERAGE(L3:L13)</f>
        <v>308.49653094452816</v>
      </c>
    </row>
    <row r="15" spans="1:29">
      <c r="A15" s="2" t="s">
        <v>24</v>
      </c>
      <c r="B15" s="2" t="s">
        <v>52</v>
      </c>
      <c r="C15" s="2" t="s">
        <v>26</v>
      </c>
      <c r="D15" s="2" t="s">
        <v>53</v>
      </c>
      <c r="E15" s="2" t="s">
        <v>54</v>
      </c>
      <c r="G15" s="2" t="s">
        <v>11</v>
      </c>
    </row>
    <row r="16" spans="1:29">
      <c r="A16" s="1" t="s">
        <v>55</v>
      </c>
      <c r="B16" t="s">
        <v>56</v>
      </c>
      <c r="C16" t="s">
        <v>57</v>
      </c>
      <c r="D16">
        <v>90.91</v>
      </c>
      <c r="E16">
        <v>333.33</v>
      </c>
      <c r="G16" s="2" t="s">
        <v>398</v>
      </c>
      <c r="H16" s="2" t="s">
        <v>396</v>
      </c>
      <c r="I16" s="2" t="s">
        <v>401</v>
      </c>
      <c r="J16" s="2" t="s">
        <v>402</v>
      </c>
      <c r="U16" t="s">
        <v>562</v>
      </c>
    </row>
    <row r="17" spans="1:26">
      <c r="A17" s="1" t="s">
        <v>58</v>
      </c>
      <c r="B17" t="s">
        <v>59</v>
      </c>
      <c r="C17" t="s">
        <v>60</v>
      </c>
      <c r="D17">
        <v>34.32</v>
      </c>
      <c r="E17">
        <v>385.71</v>
      </c>
      <c r="G17" s="2" t="s">
        <v>403</v>
      </c>
      <c r="H17" s="2" t="s">
        <v>404</v>
      </c>
      <c r="I17" t="s">
        <v>405</v>
      </c>
      <c r="J17" t="s">
        <v>406</v>
      </c>
      <c r="U17" s="2" t="s">
        <v>398</v>
      </c>
      <c r="V17" s="2" t="s">
        <v>396</v>
      </c>
      <c r="W17" s="2" t="s">
        <v>556</v>
      </c>
      <c r="X17" s="2" t="s">
        <v>591</v>
      </c>
      <c r="Y17" s="2" t="s">
        <v>557</v>
      </c>
      <c r="Z17" s="2" t="s">
        <v>563</v>
      </c>
    </row>
    <row r="18" spans="1:26">
      <c r="A18" s="1" t="s">
        <v>61</v>
      </c>
      <c r="B18" t="s">
        <v>62</v>
      </c>
      <c r="C18" t="s">
        <v>63</v>
      </c>
      <c r="D18">
        <v>22.06</v>
      </c>
      <c r="E18">
        <v>400</v>
      </c>
      <c r="G18" s="2" t="s">
        <v>407</v>
      </c>
      <c r="H18" s="2" t="s">
        <v>404</v>
      </c>
      <c r="I18" t="s">
        <v>408</v>
      </c>
      <c r="J18" t="s">
        <v>409</v>
      </c>
      <c r="U18" s="9" t="s">
        <v>558</v>
      </c>
      <c r="V18" s="9">
        <v>93000000</v>
      </c>
      <c r="W18" s="27">
        <v>3328000000</v>
      </c>
      <c r="Y18" s="1" t="s">
        <v>559</v>
      </c>
      <c r="Z18">
        <f>W18/V18</f>
        <v>35.784946236559136</v>
      </c>
    </row>
    <row r="19" spans="1:26">
      <c r="A19" s="1" t="s">
        <v>64</v>
      </c>
      <c r="B19" t="s">
        <v>65</v>
      </c>
      <c r="C19" t="s">
        <v>66</v>
      </c>
      <c r="D19">
        <v>15.5</v>
      </c>
      <c r="E19">
        <v>484.38</v>
      </c>
      <c r="G19" s="2" t="s">
        <v>410</v>
      </c>
      <c r="H19" s="2" t="s">
        <v>411</v>
      </c>
      <c r="I19" t="s">
        <v>412</v>
      </c>
      <c r="J19" t="s">
        <v>413</v>
      </c>
      <c r="U19" s="9" t="s">
        <v>560</v>
      </c>
      <c r="V19" s="9">
        <v>368000000</v>
      </c>
      <c r="W19" s="27">
        <v>11174400000</v>
      </c>
      <c r="Y19" s="1" t="s">
        <v>561</v>
      </c>
      <c r="Z19">
        <f>W19/V19</f>
        <v>30.365217391304348</v>
      </c>
    </row>
    <row r="20" spans="1:26">
      <c r="A20" s="1" t="s">
        <v>50</v>
      </c>
      <c r="B20" t="s">
        <v>105</v>
      </c>
      <c r="C20" t="s">
        <v>51</v>
      </c>
      <c r="D20">
        <v>153.19</v>
      </c>
      <c r="E20">
        <v>1636</v>
      </c>
      <c r="G20" s="2" t="s">
        <v>414</v>
      </c>
      <c r="H20" s="2" t="s">
        <v>415</v>
      </c>
      <c r="I20" t="s">
        <v>416</v>
      </c>
      <c r="J20" t="s">
        <v>417</v>
      </c>
      <c r="U20" s="9" t="s">
        <v>564</v>
      </c>
      <c r="V20" s="9">
        <v>3000000000</v>
      </c>
      <c r="W20" s="9">
        <v>86000000000</v>
      </c>
      <c r="X20" s="9" t="s">
        <v>590</v>
      </c>
      <c r="Z20">
        <f>W20/V20</f>
        <v>28.666666666666668</v>
      </c>
    </row>
    <row r="21" spans="1:26">
      <c r="D21">
        <f>AVERAGE(D16:D20)</f>
        <v>63.196000000000005</v>
      </c>
      <c r="E21">
        <f>AVERAGE(E16:E20)</f>
        <v>647.88400000000001</v>
      </c>
      <c r="G21" s="2" t="s">
        <v>418</v>
      </c>
      <c r="H21" s="2" t="s">
        <v>419</v>
      </c>
      <c r="I21" t="s">
        <v>420</v>
      </c>
      <c r="J21" t="s">
        <v>421</v>
      </c>
      <c r="U21" s="9" t="s">
        <v>592</v>
      </c>
      <c r="V21" s="9">
        <v>93000000</v>
      </c>
      <c r="W21" s="27">
        <v>3136000000</v>
      </c>
      <c r="X21" s="9"/>
      <c r="Y21" s="1" t="s">
        <v>593</v>
      </c>
      <c r="Z21">
        <f>W21/V21</f>
        <v>33.72043010752688</v>
      </c>
    </row>
    <row r="22" spans="1:26">
      <c r="D22" s="7"/>
      <c r="U22" s="2"/>
      <c r="V22" s="9"/>
      <c r="W22" s="27"/>
      <c r="X22" s="28"/>
      <c r="Y22" s="1"/>
      <c r="Z22">
        <f>AVERAGE(Z18:Z21)</f>
        <v>32.134315100514257</v>
      </c>
    </row>
    <row r="23" spans="1:26">
      <c r="A23" s="2" t="s">
        <v>69</v>
      </c>
      <c r="B23" s="2" t="s">
        <v>70</v>
      </c>
      <c r="C23" s="2" t="s">
        <v>71</v>
      </c>
      <c r="D23" s="2" t="s">
        <v>72</v>
      </c>
      <c r="E23" s="2" t="s">
        <v>73</v>
      </c>
    </row>
    <row r="24" spans="1:26">
      <c r="A24" t="s">
        <v>74</v>
      </c>
      <c r="B24" t="s">
        <v>75</v>
      </c>
      <c r="C24" t="s">
        <v>76</v>
      </c>
      <c r="D24" t="s">
        <v>77</v>
      </c>
      <c r="E24">
        <v>20</v>
      </c>
      <c r="U24" s="2" t="s">
        <v>565</v>
      </c>
      <c r="V24" s="28" t="s">
        <v>566</v>
      </c>
      <c r="W24" s="2" t="s">
        <v>567</v>
      </c>
      <c r="X24" s="28" t="s">
        <v>566</v>
      </c>
      <c r="Y24" s="1" t="s">
        <v>568</v>
      </c>
    </row>
    <row r="25" spans="1:26">
      <c r="A25" t="s">
        <v>78</v>
      </c>
      <c r="B25" t="s">
        <v>79</v>
      </c>
      <c r="C25" t="s">
        <v>80</v>
      </c>
      <c r="D25" t="s">
        <v>81</v>
      </c>
      <c r="E25">
        <v>20.2</v>
      </c>
      <c r="U25" s="2" t="s">
        <v>569</v>
      </c>
      <c r="V25" s="28" t="s">
        <v>570</v>
      </c>
      <c r="W25" s="2" t="s">
        <v>571</v>
      </c>
      <c r="X25" s="2" t="s">
        <v>572</v>
      </c>
      <c r="Y25" s="1" t="s">
        <v>573</v>
      </c>
    </row>
    <row r="26" spans="1:26">
      <c r="A26" t="s">
        <v>82</v>
      </c>
      <c r="B26" t="s">
        <v>83</v>
      </c>
      <c r="C26" s="3">
        <v>16803</v>
      </c>
      <c r="D26" t="s">
        <v>84</v>
      </c>
      <c r="E26">
        <v>20.51</v>
      </c>
      <c r="U26" s="2" t="s">
        <v>574</v>
      </c>
      <c r="V26" s="28" t="s">
        <v>566</v>
      </c>
      <c r="W26" s="2" t="s">
        <v>575</v>
      </c>
      <c r="X26" s="28" t="s">
        <v>576</v>
      </c>
      <c r="Y26" s="1" t="s">
        <v>577</v>
      </c>
    </row>
    <row r="27" spans="1:26">
      <c r="A27" t="s">
        <v>85</v>
      </c>
      <c r="B27" t="s">
        <v>86</v>
      </c>
      <c r="C27">
        <v>1</v>
      </c>
      <c r="D27" t="s">
        <v>87</v>
      </c>
      <c r="E27">
        <v>22.39</v>
      </c>
      <c r="G27" s="8" t="s">
        <v>488</v>
      </c>
      <c r="H27" s="8" t="s">
        <v>396</v>
      </c>
      <c r="I27" s="8" t="s">
        <v>490</v>
      </c>
      <c r="J27" s="8" t="s">
        <v>399</v>
      </c>
      <c r="U27" s="2" t="s">
        <v>578</v>
      </c>
      <c r="V27" s="28" t="s">
        <v>566</v>
      </c>
      <c r="W27" s="2" t="s">
        <v>579</v>
      </c>
      <c r="X27" s="28" t="s">
        <v>576</v>
      </c>
      <c r="Y27" s="1" t="s">
        <v>580</v>
      </c>
    </row>
    <row r="28" spans="1:26">
      <c r="A28" t="s">
        <v>88</v>
      </c>
      <c r="B28" t="s">
        <v>89</v>
      </c>
      <c r="C28">
        <v>6.7</v>
      </c>
      <c r="D28" t="s">
        <v>90</v>
      </c>
      <c r="E28">
        <v>21.14</v>
      </c>
      <c r="G28" t="s">
        <v>489</v>
      </c>
      <c r="H28">
        <v>6500000000</v>
      </c>
      <c r="I28" s="25">
        <v>241920000000</v>
      </c>
      <c r="J28">
        <f>I28/H28</f>
        <v>37.21846153846154</v>
      </c>
      <c r="K28" t="s">
        <v>491</v>
      </c>
      <c r="U28" s="2" t="s">
        <v>581</v>
      </c>
      <c r="V28" s="28" t="s">
        <v>566</v>
      </c>
      <c r="W28" s="2" t="s">
        <v>582</v>
      </c>
      <c r="X28" s="28" t="s">
        <v>576</v>
      </c>
      <c r="Y28" s="1" t="s">
        <v>583</v>
      </c>
    </row>
    <row r="29" spans="1:26">
      <c r="A29" t="s">
        <v>91</v>
      </c>
      <c r="B29" t="s">
        <v>92</v>
      </c>
      <c r="C29">
        <v>17.2</v>
      </c>
      <c r="D29" t="s">
        <v>93</v>
      </c>
      <c r="E29">
        <v>21.07</v>
      </c>
      <c r="G29" t="s">
        <v>504</v>
      </c>
      <c r="H29" t="s">
        <v>505</v>
      </c>
      <c r="I29" t="s">
        <v>506</v>
      </c>
      <c r="J29">
        <v>61.44</v>
      </c>
      <c r="U29" s="2" t="s">
        <v>584</v>
      </c>
      <c r="V29" s="28" t="s">
        <v>576</v>
      </c>
      <c r="W29" s="28" t="s">
        <v>576</v>
      </c>
      <c r="X29" t="s">
        <v>585</v>
      </c>
      <c r="Y29" s="1" t="s">
        <v>586</v>
      </c>
    </row>
    <row r="30" spans="1:26">
      <c r="A30" t="s">
        <v>94</v>
      </c>
      <c r="B30" t="s">
        <v>95</v>
      </c>
      <c r="C30">
        <v>59.5</v>
      </c>
      <c r="D30" t="s">
        <v>96</v>
      </c>
      <c r="E30">
        <v>21.15</v>
      </c>
      <c r="G30" t="s">
        <v>507</v>
      </c>
      <c r="H30" t="s">
        <v>508</v>
      </c>
      <c r="I30" t="s">
        <v>509</v>
      </c>
      <c r="J30">
        <v>31.23</v>
      </c>
      <c r="U30" s="2" t="s">
        <v>587</v>
      </c>
      <c r="V30" s="28" t="s">
        <v>588</v>
      </c>
      <c r="W30" s="28" t="s">
        <v>588</v>
      </c>
      <c r="X30" s="28" t="s">
        <v>588</v>
      </c>
      <c r="Y30" t="s">
        <v>589</v>
      </c>
    </row>
    <row r="31" spans="1:26">
      <c r="A31" t="s">
        <v>97</v>
      </c>
      <c r="B31" t="s">
        <v>98</v>
      </c>
      <c r="C31">
        <v>221.3</v>
      </c>
      <c r="D31" t="s">
        <v>99</v>
      </c>
      <c r="E31">
        <v>21.2</v>
      </c>
      <c r="G31" t="s">
        <v>510</v>
      </c>
      <c r="H31" t="s">
        <v>511</v>
      </c>
      <c r="I31" t="s">
        <v>512</v>
      </c>
      <c r="J31">
        <v>176.64</v>
      </c>
      <c r="M31" s="24"/>
      <c r="N31" s="24"/>
      <c r="O31" s="24"/>
    </row>
    <row r="32" spans="1:26">
      <c r="A32" t="s">
        <v>100</v>
      </c>
      <c r="B32" t="s">
        <v>101</v>
      </c>
      <c r="C32" s="4">
        <v>22515.9</v>
      </c>
      <c r="D32" t="s">
        <v>102</v>
      </c>
      <c r="E32">
        <v>21.62</v>
      </c>
      <c r="G32" t="s">
        <v>513</v>
      </c>
      <c r="H32" t="s">
        <v>514</v>
      </c>
      <c r="I32" t="s">
        <v>515</v>
      </c>
      <c r="J32">
        <v>742</v>
      </c>
      <c r="L32" s="9"/>
      <c r="M32" s="24"/>
      <c r="N32" s="24"/>
      <c r="O32" s="24"/>
    </row>
    <row r="33" spans="1:22">
      <c r="J33">
        <f>AVERAGE(J28:J32)</f>
        <v>209.70569230769235</v>
      </c>
      <c r="L33" s="9"/>
      <c r="M33" s="24"/>
      <c r="N33" s="24"/>
      <c r="O33" s="24"/>
    </row>
    <row r="34" spans="1:22">
      <c r="G34" t="s">
        <v>113</v>
      </c>
      <c r="L34" s="9"/>
      <c r="O34" s="24"/>
    </row>
    <row r="35" spans="1:22" ht="17">
      <c r="A35" s="52" t="s">
        <v>801</v>
      </c>
      <c r="B35" s="52"/>
      <c r="C35" s="52"/>
      <c r="G35" s="30" t="s">
        <v>443</v>
      </c>
      <c r="H35" s="30" t="s">
        <v>444</v>
      </c>
      <c r="I35" s="30" t="s">
        <v>445</v>
      </c>
      <c r="J35" s="30"/>
      <c r="K35" s="30" t="s">
        <v>446</v>
      </c>
      <c r="L35" s="30" t="s">
        <v>447</v>
      </c>
      <c r="M35" s="30" t="s">
        <v>448</v>
      </c>
      <c r="N35" s="30" t="s">
        <v>449</v>
      </c>
      <c r="O35" s="30" t="s">
        <v>450</v>
      </c>
      <c r="P35" s="30" t="s">
        <v>636</v>
      </c>
      <c r="Q35" s="30" t="s">
        <v>637</v>
      </c>
      <c r="R35" s="30" t="s">
        <v>638</v>
      </c>
      <c r="S35" s="30" t="s">
        <v>639</v>
      </c>
      <c r="T35" s="30" t="s">
        <v>640</v>
      </c>
      <c r="U35" s="31" t="s">
        <v>641</v>
      </c>
      <c r="V35" s="31" t="s">
        <v>642</v>
      </c>
    </row>
    <row r="36" spans="1:22" ht="17">
      <c r="A36" s="36"/>
      <c r="B36" s="37" t="s">
        <v>357</v>
      </c>
      <c r="C36" s="37" t="s">
        <v>800</v>
      </c>
      <c r="G36" t="s">
        <v>451</v>
      </c>
      <c r="H36">
        <v>2024</v>
      </c>
      <c r="I36" t="s">
        <v>452</v>
      </c>
      <c r="K36" t="s">
        <v>452</v>
      </c>
      <c r="L36" t="s">
        <v>453</v>
      </c>
      <c r="N36" t="s">
        <v>454</v>
      </c>
      <c r="O36" t="s">
        <v>455</v>
      </c>
    </row>
    <row r="37" spans="1:22" ht="17">
      <c r="A37" s="33" t="s">
        <v>530</v>
      </c>
      <c r="B37" s="34">
        <f>MEDIAN(D3:D11,D16:D20)</f>
        <v>35.68</v>
      </c>
      <c r="C37" s="34">
        <f>AVERAGE(D3:D11,D16:D20)</f>
        <v>75.158571428571435</v>
      </c>
      <c r="G37" t="s">
        <v>456</v>
      </c>
      <c r="H37">
        <v>2024</v>
      </c>
      <c r="I37" t="s">
        <v>452</v>
      </c>
      <c r="K37" t="s">
        <v>457</v>
      </c>
      <c r="L37" t="s">
        <v>458</v>
      </c>
      <c r="N37" t="s">
        <v>459</v>
      </c>
      <c r="O37" t="s">
        <v>460</v>
      </c>
    </row>
    <row r="38" spans="1:22" ht="17">
      <c r="A38" s="33" t="s">
        <v>555</v>
      </c>
      <c r="B38" s="34">
        <f>MEDIAN(L3:L13,J28:J32,V46:V61,P78:P80,P84:P89,Z18:Z21,AC3:AC12)</f>
        <v>229.05759162303664</v>
      </c>
      <c r="C38" s="34">
        <f>AVERAGE(L3:L13,J28:J32,V46:V61,P78:P80,P84:P89,Z18:Z21,AC3:AC12)</f>
        <v>967.12799892373619</v>
      </c>
      <c r="G38" t="s">
        <v>461</v>
      </c>
      <c r="H38">
        <v>2024</v>
      </c>
      <c r="I38" t="s">
        <v>452</v>
      </c>
      <c r="K38" t="s">
        <v>462</v>
      </c>
      <c r="L38" t="s">
        <v>458</v>
      </c>
      <c r="N38" t="s">
        <v>459</v>
      </c>
      <c r="O38" t="s">
        <v>460</v>
      </c>
    </row>
    <row r="39" spans="1:22" ht="17">
      <c r="A39" s="35" t="s">
        <v>10</v>
      </c>
      <c r="B39" s="34">
        <f>MEDIAN(P78:P80,P84:P89)</f>
        <v>974.31244552058115</v>
      </c>
      <c r="C39" s="34">
        <f>P90</f>
        <v>1471.5667914825328</v>
      </c>
      <c r="G39" t="s">
        <v>463</v>
      </c>
      <c r="H39">
        <v>2024</v>
      </c>
      <c r="I39" t="s">
        <v>452</v>
      </c>
      <c r="K39" t="s">
        <v>464</v>
      </c>
      <c r="L39" t="s">
        <v>458</v>
      </c>
      <c r="N39" t="s">
        <v>459</v>
      </c>
      <c r="O39" t="s">
        <v>460</v>
      </c>
    </row>
    <row r="40" spans="1:22" ht="17">
      <c r="A40" s="35" t="s">
        <v>799</v>
      </c>
      <c r="B40" s="34">
        <f>MEDIAN(Z18:Z21)</f>
        <v>32.042823749415618</v>
      </c>
      <c r="C40" s="34">
        <f>Z22</f>
        <v>32.134315100514257</v>
      </c>
      <c r="G40" t="s">
        <v>465</v>
      </c>
      <c r="H40">
        <v>2024</v>
      </c>
      <c r="I40" t="s">
        <v>452</v>
      </c>
      <c r="K40" t="s">
        <v>466</v>
      </c>
      <c r="L40" t="s">
        <v>458</v>
      </c>
      <c r="N40" t="s">
        <v>459</v>
      </c>
      <c r="O40" t="s">
        <v>460</v>
      </c>
    </row>
    <row r="41" spans="1:22" ht="17">
      <c r="A41" s="35" t="s">
        <v>554</v>
      </c>
      <c r="B41" s="34">
        <f>MEDIAN(L3:L13)</f>
        <v>132.30769230769232</v>
      </c>
      <c r="C41" s="34">
        <f>L14</f>
        <v>308.49653094452816</v>
      </c>
      <c r="G41" t="s">
        <v>467</v>
      </c>
      <c r="H41">
        <v>2024</v>
      </c>
      <c r="I41" t="s">
        <v>452</v>
      </c>
      <c r="K41" t="s">
        <v>468</v>
      </c>
      <c r="L41" t="s">
        <v>458</v>
      </c>
      <c r="N41" t="s">
        <v>459</v>
      </c>
      <c r="O41" t="s">
        <v>460</v>
      </c>
    </row>
    <row r="42" spans="1:22" ht="17">
      <c r="A42" s="35" t="s">
        <v>145</v>
      </c>
      <c r="B42" s="34">
        <f>MEDIAN(AC3:AC12)</f>
        <v>870.00864304235097</v>
      </c>
      <c r="C42" s="34">
        <f>AC13</f>
        <v>2374.6573325849258</v>
      </c>
      <c r="G42" t="s">
        <v>469</v>
      </c>
      <c r="H42">
        <v>2024</v>
      </c>
      <c r="I42" t="s">
        <v>452</v>
      </c>
      <c r="K42" t="s">
        <v>470</v>
      </c>
      <c r="L42" t="s">
        <v>458</v>
      </c>
      <c r="N42" t="s">
        <v>459</v>
      </c>
      <c r="O42" t="s">
        <v>460</v>
      </c>
    </row>
    <row r="43" spans="1:22" ht="17">
      <c r="A43" s="35" t="s">
        <v>113</v>
      </c>
      <c r="B43" s="34">
        <f>MEDIAN(V46:V61)</f>
        <v>135.93240935064935</v>
      </c>
      <c r="C43" s="34">
        <f>V70</f>
        <v>486.72674223665229</v>
      </c>
      <c r="G43" t="s">
        <v>471</v>
      </c>
      <c r="H43">
        <v>2024</v>
      </c>
      <c r="I43" t="s">
        <v>472</v>
      </c>
      <c r="K43" t="s">
        <v>472</v>
      </c>
      <c r="L43" t="s">
        <v>473</v>
      </c>
      <c r="M43" t="s">
        <v>474</v>
      </c>
      <c r="N43" t="s">
        <v>475</v>
      </c>
      <c r="O43" t="s">
        <v>476</v>
      </c>
    </row>
    <row r="44" spans="1:22" ht="17">
      <c r="A44" s="35" t="s">
        <v>553</v>
      </c>
      <c r="B44" s="34">
        <f>MEDIAN(J28:J32)</f>
        <v>61.44</v>
      </c>
      <c r="C44" s="34">
        <f>J33</f>
        <v>209.70569230769235</v>
      </c>
      <c r="G44" t="s">
        <v>477</v>
      </c>
      <c r="H44">
        <v>2024</v>
      </c>
      <c r="I44" t="s">
        <v>478</v>
      </c>
      <c r="K44" t="s">
        <v>478</v>
      </c>
      <c r="L44" t="s">
        <v>479</v>
      </c>
      <c r="M44" t="s">
        <v>480</v>
      </c>
      <c r="N44" t="s">
        <v>475</v>
      </c>
      <c r="O44" t="s">
        <v>481</v>
      </c>
    </row>
    <row r="45" spans="1:22">
      <c r="B45" s="20"/>
      <c r="C45" s="20"/>
      <c r="G45" t="s">
        <v>482</v>
      </c>
      <c r="H45">
        <v>2024</v>
      </c>
      <c r="I45" t="s">
        <v>483</v>
      </c>
      <c r="K45" t="s">
        <v>484</v>
      </c>
      <c r="L45" t="s">
        <v>485</v>
      </c>
      <c r="N45" t="s">
        <v>486</v>
      </c>
      <c r="O45" t="s">
        <v>487</v>
      </c>
    </row>
    <row r="46" spans="1:22">
      <c r="G46" t="s">
        <v>643</v>
      </c>
      <c r="H46">
        <v>2025</v>
      </c>
      <c r="I46" t="s">
        <v>644</v>
      </c>
      <c r="J46">
        <v>2200000000</v>
      </c>
      <c r="K46" t="s">
        <v>645</v>
      </c>
      <c r="L46" t="s">
        <v>646</v>
      </c>
      <c r="N46" t="s">
        <v>647</v>
      </c>
      <c r="O46" t="s">
        <v>648</v>
      </c>
      <c r="P46" t="s">
        <v>649</v>
      </c>
      <c r="Q46">
        <v>209715200000</v>
      </c>
      <c r="R46">
        <v>838860800000</v>
      </c>
      <c r="S46" t="s">
        <v>650</v>
      </c>
      <c r="U46">
        <f>AVERAGE(Q46:R46)</f>
        <v>524288000000</v>
      </c>
      <c r="V46">
        <f>U46/J46</f>
        <v>238.31272727272727</v>
      </c>
    </row>
    <row r="47" spans="1:22">
      <c r="G47" t="s">
        <v>651</v>
      </c>
      <c r="H47">
        <v>2025</v>
      </c>
      <c r="I47" t="s">
        <v>644</v>
      </c>
      <c r="J47">
        <v>2200000000</v>
      </c>
      <c r="K47" t="s">
        <v>652</v>
      </c>
      <c r="L47" t="s">
        <v>653</v>
      </c>
      <c r="N47" t="s">
        <v>654</v>
      </c>
      <c r="O47" t="s">
        <v>655</v>
      </c>
      <c r="P47" t="s">
        <v>656</v>
      </c>
      <c r="Q47">
        <v>1310720000</v>
      </c>
      <c r="R47">
        <v>15728640000</v>
      </c>
      <c r="S47" t="s">
        <v>657</v>
      </c>
      <c r="U47">
        <f t="shared" ref="U47:U61" si="2">AVERAGE(Q47:R47)</f>
        <v>8519680000</v>
      </c>
      <c r="V47">
        <f t="shared" ref="V47:V61" si="3">U47/J47</f>
        <v>3.8725818181818181</v>
      </c>
    </row>
    <row r="48" spans="1:22">
      <c r="G48" t="s">
        <v>658</v>
      </c>
      <c r="H48">
        <v>2025</v>
      </c>
      <c r="I48" t="s">
        <v>659</v>
      </c>
      <c r="J48">
        <v>450000000</v>
      </c>
      <c r="K48" t="s">
        <v>660</v>
      </c>
      <c r="L48" t="s">
        <v>661</v>
      </c>
      <c r="N48" t="s">
        <v>662</v>
      </c>
      <c r="O48" t="s">
        <v>663</v>
      </c>
      <c r="P48" t="s">
        <v>664</v>
      </c>
      <c r="Q48">
        <v>3276800000</v>
      </c>
      <c r="R48">
        <v>9830400000</v>
      </c>
      <c r="S48" t="s">
        <v>665</v>
      </c>
      <c r="U48">
        <f t="shared" si="2"/>
        <v>6553600000</v>
      </c>
      <c r="V48">
        <f t="shared" si="3"/>
        <v>14.563555555555556</v>
      </c>
    </row>
    <row r="49" spans="7:22">
      <c r="G49" t="s">
        <v>666</v>
      </c>
      <c r="H49">
        <v>2025</v>
      </c>
      <c r="I49" t="s">
        <v>659</v>
      </c>
      <c r="J49">
        <v>450000000</v>
      </c>
      <c r="K49" t="s">
        <v>660</v>
      </c>
      <c r="L49" t="s">
        <v>667</v>
      </c>
      <c r="N49" t="s">
        <v>668</v>
      </c>
      <c r="O49" t="s">
        <v>669</v>
      </c>
    </row>
    <row r="50" spans="7:22">
      <c r="G50" t="s">
        <v>670</v>
      </c>
      <c r="H50">
        <v>2024</v>
      </c>
      <c r="I50" t="s">
        <v>671</v>
      </c>
      <c r="J50">
        <v>3300000000</v>
      </c>
      <c r="K50" t="s">
        <v>672</v>
      </c>
      <c r="L50" t="s">
        <v>673</v>
      </c>
      <c r="N50" t="s">
        <v>674</v>
      </c>
      <c r="O50" t="s">
        <v>675</v>
      </c>
      <c r="P50" t="s">
        <v>676</v>
      </c>
      <c r="Q50">
        <v>508389000000</v>
      </c>
      <c r="R50">
        <v>11142117000000</v>
      </c>
      <c r="S50" t="s">
        <v>677</v>
      </c>
      <c r="U50">
        <f t="shared" si="2"/>
        <v>5825253000000</v>
      </c>
      <c r="V50">
        <f t="shared" si="3"/>
        <v>1765.2281818181818</v>
      </c>
    </row>
    <row r="51" spans="7:22">
      <c r="G51" t="s">
        <v>678</v>
      </c>
      <c r="H51">
        <v>2023</v>
      </c>
      <c r="I51" t="s">
        <v>679</v>
      </c>
      <c r="K51" t="s">
        <v>680</v>
      </c>
      <c r="L51" t="s">
        <v>681</v>
      </c>
      <c r="N51" t="s">
        <v>682</v>
      </c>
      <c r="O51" t="s">
        <v>683</v>
      </c>
    </row>
    <row r="52" spans="7:22">
      <c r="G52" t="s">
        <v>684</v>
      </c>
      <c r="H52">
        <v>2023</v>
      </c>
      <c r="I52" t="s">
        <v>685</v>
      </c>
      <c r="K52" t="s">
        <v>680</v>
      </c>
      <c r="L52" t="s">
        <v>686</v>
      </c>
      <c r="N52" t="s">
        <v>687</v>
      </c>
      <c r="O52" t="s">
        <v>683</v>
      </c>
    </row>
    <row r="53" spans="7:22">
      <c r="G53" t="s">
        <v>688</v>
      </c>
      <c r="H53">
        <v>2023</v>
      </c>
      <c r="I53" t="s">
        <v>452</v>
      </c>
      <c r="K53" t="s">
        <v>680</v>
      </c>
      <c r="L53" t="s">
        <v>689</v>
      </c>
      <c r="N53" t="s">
        <v>687</v>
      </c>
      <c r="O53" t="s">
        <v>683</v>
      </c>
    </row>
    <row r="54" spans="7:22">
      <c r="G54" t="s">
        <v>690</v>
      </c>
      <c r="H54">
        <v>2025</v>
      </c>
      <c r="I54" t="s">
        <v>691</v>
      </c>
      <c r="J54" s="32">
        <v>3000000000</v>
      </c>
      <c r="K54" t="s">
        <v>691</v>
      </c>
      <c r="L54" t="s">
        <v>692</v>
      </c>
      <c r="N54" t="s">
        <v>693</v>
      </c>
      <c r="O54" t="s">
        <v>683</v>
      </c>
      <c r="P54" t="s">
        <v>694</v>
      </c>
      <c r="Q54">
        <v>18022400000</v>
      </c>
      <c r="R54">
        <v>18022400000</v>
      </c>
      <c r="S54" t="s">
        <v>695</v>
      </c>
      <c r="U54">
        <f t="shared" si="2"/>
        <v>18022400000</v>
      </c>
      <c r="V54">
        <f t="shared" si="3"/>
        <v>6.0074666666666667</v>
      </c>
    </row>
    <row r="55" spans="7:22">
      <c r="G55" t="s">
        <v>696</v>
      </c>
      <c r="H55">
        <v>2025</v>
      </c>
      <c r="I55" t="s">
        <v>697</v>
      </c>
      <c r="K55" t="s">
        <v>698</v>
      </c>
      <c r="L55" t="s">
        <v>699</v>
      </c>
      <c r="N55" t="s">
        <v>700</v>
      </c>
      <c r="O55" t="s">
        <v>701</v>
      </c>
    </row>
    <row r="56" spans="7:22">
      <c r="G56" t="s">
        <v>702</v>
      </c>
      <c r="H56">
        <v>2025</v>
      </c>
      <c r="I56" t="s">
        <v>703</v>
      </c>
      <c r="K56" t="s">
        <v>704</v>
      </c>
      <c r="L56" t="s">
        <v>699</v>
      </c>
      <c r="N56" t="s">
        <v>700</v>
      </c>
      <c r="O56" t="s">
        <v>701</v>
      </c>
    </row>
    <row r="57" spans="7:22">
      <c r="G57" t="s">
        <v>705</v>
      </c>
      <c r="H57">
        <v>2024</v>
      </c>
      <c r="I57" t="s">
        <v>706</v>
      </c>
      <c r="K57" t="s">
        <v>706</v>
      </c>
      <c r="L57" t="s">
        <v>707</v>
      </c>
      <c r="N57" t="s">
        <v>708</v>
      </c>
      <c r="O57" t="s">
        <v>680</v>
      </c>
    </row>
    <row r="58" spans="7:22">
      <c r="G58" t="s">
        <v>709</v>
      </c>
      <c r="H58">
        <v>2025</v>
      </c>
      <c r="I58" t="s">
        <v>710</v>
      </c>
      <c r="J58" s="32">
        <v>7000000000</v>
      </c>
      <c r="K58" t="s">
        <v>711</v>
      </c>
      <c r="L58" t="s">
        <v>712</v>
      </c>
      <c r="N58" t="s">
        <v>713</v>
      </c>
      <c r="O58" t="s">
        <v>714</v>
      </c>
      <c r="P58" t="s">
        <v>715</v>
      </c>
      <c r="Q58">
        <v>34979840000</v>
      </c>
      <c r="R58">
        <v>434749440000</v>
      </c>
      <c r="S58" t="s">
        <v>716</v>
      </c>
      <c r="T58" t="s">
        <v>717</v>
      </c>
      <c r="U58">
        <f t="shared" si="2"/>
        <v>234864640000</v>
      </c>
      <c r="V58">
        <f t="shared" si="3"/>
        <v>33.55209142857143</v>
      </c>
    </row>
    <row r="59" spans="7:22">
      <c r="G59" t="s">
        <v>718</v>
      </c>
      <c r="H59">
        <v>2025</v>
      </c>
      <c r="I59" t="s">
        <v>719</v>
      </c>
      <c r="K59" t="s">
        <v>720</v>
      </c>
      <c r="L59" t="s">
        <v>721</v>
      </c>
      <c r="N59" t="s">
        <v>722</v>
      </c>
      <c r="O59" t="s">
        <v>723</v>
      </c>
      <c r="P59" t="s">
        <v>724</v>
      </c>
      <c r="S59" t="s">
        <v>725</v>
      </c>
      <c r="T59" t="s">
        <v>726</v>
      </c>
    </row>
    <row r="60" spans="7:22">
      <c r="G60" t="s">
        <v>727</v>
      </c>
      <c r="H60">
        <v>2025</v>
      </c>
      <c r="I60" t="s">
        <v>728</v>
      </c>
      <c r="J60" s="32">
        <v>3000000000</v>
      </c>
      <c r="K60" t="s">
        <v>729</v>
      </c>
      <c r="L60" t="s">
        <v>730</v>
      </c>
      <c r="N60" t="s">
        <v>731</v>
      </c>
      <c r="O60" t="s">
        <v>732</v>
      </c>
      <c r="P60" t="s">
        <v>733</v>
      </c>
      <c r="Q60">
        <v>802816000000</v>
      </c>
      <c r="R60">
        <v>4194304000000</v>
      </c>
      <c r="S60" t="s">
        <v>734</v>
      </c>
      <c r="T60" t="s">
        <v>735</v>
      </c>
      <c r="U60">
        <f t="shared" si="2"/>
        <v>2498560000000</v>
      </c>
      <c r="V60">
        <f t="shared" si="3"/>
        <v>832.85333333333335</v>
      </c>
    </row>
    <row r="61" spans="7:22">
      <c r="G61" t="s">
        <v>736</v>
      </c>
      <c r="H61">
        <v>2025</v>
      </c>
      <c r="I61" t="s">
        <v>728</v>
      </c>
      <c r="J61" s="32">
        <v>3000000000</v>
      </c>
      <c r="K61" t="s">
        <v>729</v>
      </c>
      <c r="L61" t="s">
        <v>737</v>
      </c>
      <c r="N61" t="s">
        <v>731</v>
      </c>
      <c r="O61" t="s">
        <v>732</v>
      </c>
      <c r="P61" t="s">
        <v>733</v>
      </c>
      <c r="Q61">
        <v>963379200000</v>
      </c>
      <c r="R61">
        <v>5033164800000</v>
      </c>
      <c r="S61" t="s">
        <v>734</v>
      </c>
      <c r="T61" t="s">
        <v>735</v>
      </c>
      <c r="U61">
        <f t="shared" si="2"/>
        <v>2998272000000</v>
      </c>
      <c r="V61">
        <f t="shared" si="3"/>
        <v>999.42399999999998</v>
      </c>
    </row>
    <row r="62" spans="7:22">
      <c r="G62" t="s">
        <v>738</v>
      </c>
      <c r="H62">
        <v>2024</v>
      </c>
      <c r="I62" t="s">
        <v>429</v>
      </c>
      <c r="K62" t="s">
        <v>739</v>
      </c>
      <c r="L62" t="s">
        <v>740</v>
      </c>
      <c r="N62" t="s">
        <v>741</v>
      </c>
      <c r="O62" t="s">
        <v>742</v>
      </c>
      <c r="S62" t="s">
        <v>743</v>
      </c>
      <c r="T62" t="s">
        <v>744</v>
      </c>
    </row>
    <row r="63" spans="7:22">
      <c r="G63" t="s">
        <v>745</v>
      </c>
      <c r="H63">
        <v>2024</v>
      </c>
      <c r="I63" t="s">
        <v>746</v>
      </c>
      <c r="K63" t="s">
        <v>747</v>
      </c>
      <c r="L63" t="s">
        <v>748</v>
      </c>
      <c r="N63" t="s">
        <v>749</v>
      </c>
      <c r="O63" t="s">
        <v>750</v>
      </c>
      <c r="P63" t="s">
        <v>751</v>
      </c>
      <c r="S63" t="s">
        <v>752</v>
      </c>
      <c r="T63" t="s">
        <v>753</v>
      </c>
    </row>
    <row r="64" spans="7:22">
      <c r="G64" t="s">
        <v>754</v>
      </c>
      <c r="H64">
        <v>2025</v>
      </c>
      <c r="I64" t="s">
        <v>755</v>
      </c>
      <c r="K64" t="s">
        <v>756</v>
      </c>
      <c r="L64" t="s">
        <v>757</v>
      </c>
      <c r="N64" t="s">
        <v>758</v>
      </c>
      <c r="O64" t="s">
        <v>759</v>
      </c>
      <c r="S64" t="s">
        <v>760</v>
      </c>
      <c r="T64" t="s">
        <v>761</v>
      </c>
    </row>
    <row r="65" spans="7:22">
      <c r="G65" t="s">
        <v>762</v>
      </c>
      <c r="H65">
        <v>2025</v>
      </c>
      <c r="I65" t="s">
        <v>755</v>
      </c>
      <c r="K65" t="s">
        <v>756</v>
      </c>
      <c r="L65" t="s">
        <v>763</v>
      </c>
      <c r="N65" t="s">
        <v>764</v>
      </c>
      <c r="O65" t="s">
        <v>765</v>
      </c>
      <c r="S65" t="s">
        <v>766</v>
      </c>
      <c r="T65" t="s">
        <v>767</v>
      </c>
    </row>
    <row r="66" spans="7:22">
      <c r="G66" t="s">
        <v>768</v>
      </c>
      <c r="H66">
        <v>2025</v>
      </c>
      <c r="I66" t="s">
        <v>755</v>
      </c>
      <c r="K66" t="s">
        <v>756</v>
      </c>
      <c r="L66" t="s">
        <v>769</v>
      </c>
      <c r="N66" t="s">
        <v>770</v>
      </c>
      <c r="O66" t="s">
        <v>771</v>
      </c>
      <c r="S66" t="s">
        <v>772</v>
      </c>
      <c r="T66" t="s">
        <v>773</v>
      </c>
    </row>
    <row r="67" spans="7:22">
      <c r="G67" t="s">
        <v>774</v>
      </c>
      <c r="H67">
        <v>2025</v>
      </c>
      <c r="I67" t="s">
        <v>775</v>
      </c>
      <c r="K67" t="s">
        <v>756</v>
      </c>
      <c r="L67" t="s">
        <v>776</v>
      </c>
      <c r="N67" t="s">
        <v>777</v>
      </c>
      <c r="O67" t="s">
        <v>778</v>
      </c>
      <c r="P67" t="s">
        <v>779</v>
      </c>
      <c r="S67" t="s">
        <v>780</v>
      </c>
      <c r="T67" t="s">
        <v>781</v>
      </c>
    </row>
    <row r="68" spans="7:22">
      <c r="G68" t="s">
        <v>782</v>
      </c>
      <c r="H68">
        <v>2025</v>
      </c>
      <c r="I68" t="s">
        <v>783</v>
      </c>
      <c r="K68" t="s">
        <v>756</v>
      </c>
      <c r="L68" t="s">
        <v>784</v>
      </c>
      <c r="N68" t="s">
        <v>785</v>
      </c>
      <c r="O68" t="s">
        <v>786</v>
      </c>
      <c r="P68" t="s">
        <v>787</v>
      </c>
      <c r="S68" t="s">
        <v>788</v>
      </c>
      <c r="T68" t="s">
        <v>789</v>
      </c>
    </row>
    <row r="69" spans="7:22">
      <c r="G69" t="s">
        <v>790</v>
      </c>
      <c r="H69">
        <v>2025</v>
      </c>
      <c r="I69" t="s">
        <v>791</v>
      </c>
      <c r="K69" t="s">
        <v>792</v>
      </c>
      <c r="L69" t="s">
        <v>793</v>
      </c>
      <c r="N69" t="s">
        <v>794</v>
      </c>
      <c r="O69" t="s">
        <v>795</v>
      </c>
      <c r="P69" t="s">
        <v>796</v>
      </c>
      <c r="S69" t="s">
        <v>797</v>
      </c>
      <c r="T69" t="s">
        <v>798</v>
      </c>
    </row>
    <row r="70" spans="7:22">
      <c r="V70">
        <f>AVERAGE(V46:V61)</f>
        <v>486.72674223665229</v>
      </c>
    </row>
    <row r="71" spans="7:22">
      <c r="L71" s="9"/>
    </row>
    <row r="72" spans="7:22">
      <c r="L72" s="9"/>
    </row>
    <row r="73" spans="7:22">
      <c r="L73" s="9"/>
    </row>
    <row r="74" spans="7:22">
      <c r="L74" s="9"/>
    </row>
    <row r="75" spans="7:22">
      <c r="L75" s="9"/>
    </row>
    <row r="76" spans="7:22">
      <c r="G76" t="s">
        <v>10</v>
      </c>
      <c r="H76" s="5"/>
      <c r="L76" s="9"/>
    </row>
    <row r="77" spans="7:22">
      <c r="G77" s="2" t="s">
        <v>492</v>
      </c>
      <c r="H77" s="2" t="s">
        <v>396</v>
      </c>
      <c r="I77" s="2" t="s">
        <v>493</v>
      </c>
      <c r="J77" s="2" t="s">
        <v>494</v>
      </c>
      <c r="K77" s="2" t="s">
        <v>516</v>
      </c>
      <c r="L77" s="2" t="s">
        <v>517</v>
      </c>
      <c r="M77" s="2" t="s">
        <v>518</v>
      </c>
      <c r="N77" s="2" t="s">
        <v>519</v>
      </c>
      <c r="O77" s="2" t="s">
        <v>520</v>
      </c>
      <c r="P77" s="8" t="s">
        <v>399</v>
      </c>
    </row>
    <row r="78" spans="7:22">
      <c r="G78" s="9" t="s">
        <v>497</v>
      </c>
      <c r="H78" s="9">
        <v>1100000000</v>
      </c>
      <c r="I78" s="9" t="s">
        <v>495</v>
      </c>
      <c r="J78" s="9" t="s">
        <v>498</v>
      </c>
      <c r="K78" t="s">
        <v>521</v>
      </c>
      <c r="L78" t="s">
        <v>522</v>
      </c>
      <c r="M78" t="s">
        <v>523</v>
      </c>
      <c r="N78" t="s">
        <v>524</v>
      </c>
      <c r="O78" s="25">
        <v>1234227200000</v>
      </c>
      <c r="P78">
        <f>O78/H78</f>
        <v>1122.0247272727272</v>
      </c>
    </row>
    <row r="79" spans="7:22">
      <c r="G79" s="9" t="s">
        <v>499</v>
      </c>
      <c r="H79" s="9">
        <v>641000000</v>
      </c>
      <c r="I79" s="9" t="s">
        <v>500</v>
      </c>
      <c r="J79" s="9" t="s">
        <v>501</v>
      </c>
      <c r="K79" t="s">
        <v>525</v>
      </c>
      <c r="L79" t="s">
        <v>526</v>
      </c>
      <c r="M79" t="s">
        <v>527</v>
      </c>
      <c r="N79">
        <v>4096</v>
      </c>
      <c r="O79" s="25">
        <v>94371840000</v>
      </c>
      <c r="P79">
        <f>O79/H79</f>
        <v>147.22595943837754</v>
      </c>
    </row>
    <row r="80" spans="7:22">
      <c r="G80" s="9" t="s">
        <v>502</v>
      </c>
      <c r="H80" s="9">
        <v>5000000000</v>
      </c>
      <c r="I80" s="9" t="s">
        <v>496</v>
      </c>
      <c r="J80" s="9" t="s">
        <v>503</v>
      </c>
      <c r="K80" t="s">
        <v>411</v>
      </c>
      <c r="L80" t="s">
        <v>528</v>
      </c>
      <c r="M80" t="s">
        <v>523</v>
      </c>
      <c r="N80" t="s">
        <v>529</v>
      </c>
      <c r="O80" s="25">
        <v>1419000000000</v>
      </c>
      <c r="P80">
        <f>O80/H80</f>
        <v>283.8</v>
      </c>
    </row>
    <row r="82" spans="7:24">
      <c r="G82" t="s">
        <v>10</v>
      </c>
    </row>
    <row r="83" spans="7:24">
      <c r="G83" s="29" t="s">
        <v>594</v>
      </c>
      <c r="H83" s="29" t="s">
        <v>595</v>
      </c>
      <c r="I83" s="29" t="s">
        <v>596</v>
      </c>
      <c r="J83" s="29" t="s">
        <v>597</v>
      </c>
      <c r="K83" s="29" t="s">
        <v>598</v>
      </c>
      <c r="L83" s="29" t="s">
        <v>599</v>
      </c>
      <c r="M83" s="29" t="s">
        <v>600</v>
      </c>
      <c r="N83" s="29" t="s">
        <v>601</v>
      </c>
      <c r="O83" s="29" t="s">
        <v>602</v>
      </c>
      <c r="P83" s="29" t="s">
        <v>399</v>
      </c>
      <c r="Q83" s="29" t="s">
        <v>603</v>
      </c>
      <c r="R83" s="29" t="s">
        <v>604</v>
      </c>
      <c r="S83" s="29" t="s">
        <v>605</v>
      </c>
      <c r="T83" s="29" t="s">
        <v>606</v>
      </c>
      <c r="U83" s="29" t="s">
        <v>607</v>
      </c>
      <c r="V83" s="29" t="s">
        <v>608</v>
      </c>
      <c r="W83" s="29" t="s">
        <v>609</v>
      </c>
      <c r="X83" s="29" t="s">
        <v>610</v>
      </c>
    </row>
    <row r="84" spans="7:24">
      <c r="G84" t="s">
        <v>611</v>
      </c>
      <c r="H84" t="s">
        <v>612</v>
      </c>
      <c r="I84">
        <v>3000000000</v>
      </c>
      <c r="J84">
        <v>450000</v>
      </c>
      <c r="K84">
        <v>8192</v>
      </c>
      <c r="L84">
        <v>3686400000</v>
      </c>
      <c r="M84">
        <v>1024</v>
      </c>
      <c r="N84" t="s">
        <v>613</v>
      </c>
      <c r="O84">
        <v>3774873600000</v>
      </c>
      <c r="P84">
        <f t="shared" ref="P84:P89" si="4">O84/I84</f>
        <v>1258.2911999999999</v>
      </c>
      <c r="Q84" t="s">
        <v>614</v>
      </c>
      <c r="R84">
        <v>3</v>
      </c>
      <c r="S84">
        <v>3.6863999999999999</v>
      </c>
      <c r="T84">
        <v>3.7748735999999998</v>
      </c>
      <c r="U84" t="s">
        <v>615</v>
      </c>
      <c r="V84" t="s">
        <v>615</v>
      </c>
      <c r="W84" t="s">
        <v>615</v>
      </c>
      <c r="X84" t="s">
        <v>615</v>
      </c>
    </row>
    <row r="85" spans="7:24">
      <c r="G85" t="s">
        <v>611</v>
      </c>
      <c r="H85" t="s">
        <v>616</v>
      </c>
      <c r="I85">
        <v>20000000000</v>
      </c>
      <c r="J85">
        <v>450000</v>
      </c>
      <c r="K85">
        <v>8192</v>
      </c>
      <c r="L85">
        <v>3686400000</v>
      </c>
      <c r="M85">
        <v>1024</v>
      </c>
      <c r="N85" t="s">
        <v>613</v>
      </c>
      <c r="O85">
        <v>3774873600000</v>
      </c>
      <c r="P85">
        <f t="shared" si="4"/>
        <v>188.74368000000001</v>
      </c>
      <c r="Q85" t="s">
        <v>614</v>
      </c>
      <c r="R85">
        <v>20</v>
      </c>
      <c r="S85">
        <v>3.6863999999999999</v>
      </c>
      <c r="T85">
        <v>3.7748735999999998</v>
      </c>
      <c r="U85" t="s">
        <v>615</v>
      </c>
      <c r="V85" t="s">
        <v>615</v>
      </c>
      <c r="W85" t="s">
        <v>615</v>
      </c>
      <c r="X85" t="s">
        <v>615</v>
      </c>
    </row>
    <row r="86" spans="7:24">
      <c r="G86" t="s">
        <v>617</v>
      </c>
      <c r="H86" t="s">
        <v>618</v>
      </c>
      <c r="I86">
        <v>3000000000</v>
      </c>
      <c r="J86">
        <v>1500000</v>
      </c>
      <c r="K86">
        <v>512</v>
      </c>
      <c r="L86">
        <v>768000000</v>
      </c>
      <c r="M86">
        <v>256</v>
      </c>
      <c r="N86" t="s">
        <v>613</v>
      </c>
      <c r="O86">
        <v>196608000000</v>
      </c>
      <c r="P86">
        <f t="shared" si="4"/>
        <v>65.536000000000001</v>
      </c>
      <c r="Q86" t="s">
        <v>619</v>
      </c>
      <c r="R86">
        <v>3</v>
      </c>
      <c r="S86">
        <v>0.76800000000000002</v>
      </c>
      <c r="T86">
        <v>0.196608</v>
      </c>
      <c r="U86" t="s">
        <v>620</v>
      </c>
      <c r="V86" t="s">
        <v>620</v>
      </c>
      <c r="W86" t="s">
        <v>620</v>
      </c>
      <c r="X86" t="s">
        <v>620</v>
      </c>
    </row>
    <row r="87" spans="7:24">
      <c r="G87" t="s">
        <v>622</v>
      </c>
      <c r="H87" t="s">
        <v>623</v>
      </c>
      <c r="I87">
        <v>900000000</v>
      </c>
      <c r="J87">
        <v>550000</v>
      </c>
      <c r="K87">
        <v>2048</v>
      </c>
      <c r="L87">
        <v>1126400000</v>
      </c>
      <c r="M87">
        <v>1024</v>
      </c>
      <c r="N87" t="s">
        <v>624</v>
      </c>
      <c r="O87">
        <v>1153433600000</v>
      </c>
      <c r="P87">
        <f t="shared" si="4"/>
        <v>1281.5928888888889</v>
      </c>
      <c r="Q87" t="s">
        <v>625</v>
      </c>
      <c r="R87">
        <v>0.9</v>
      </c>
      <c r="S87">
        <v>1.1264000000000001</v>
      </c>
      <c r="T87">
        <v>1.1534336000000001</v>
      </c>
      <c r="U87" t="s">
        <v>626</v>
      </c>
      <c r="V87" t="s">
        <v>627</v>
      </c>
      <c r="W87" t="s">
        <v>628</v>
      </c>
      <c r="X87" t="s">
        <v>629</v>
      </c>
    </row>
    <row r="88" spans="7:24">
      <c r="G88" t="s">
        <v>622</v>
      </c>
      <c r="H88" t="s">
        <v>630</v>
      </c>
      <c r="I88">
        <v>900000000</v>
      </c>
      <c r="J88">
        <v>850000</v>
      </c>
      <c r="K88">
        <v>2048</v>
      </c>
      <c r="L88">
        <v>1740800000</v>
      </c>
      <c r="M88">
        <v>4096</v>
      </c>
      <c r="N88" t="s">
        <v>624</v>
      </c>
      <c r="O88">
        <v>7130316800000</v>
      </c>
      <c r="P88">
        <f t="shared" si="4"/>
        <v>7922.5742222222225</v>
      </c>
      <c r="Q88" t="s">
        <v>631</v>
      </c>
      <c r="R88">
        <v>0.9</v>
      </c>
      <c r="S88">
        <v>1.7407999999999999</v>
      </c>
      <c r="T88">
        <v>7.1303168000000001</v>
      </c>
      <c r="U88" t="s">
        <v>626</v>
      </c>
      <c r="V88" t="s">
        <v>627</v>
      </c>
      <c r="W88" t="s">
        <v>628</v>
      </c>
      <c r="X88" t="s">
        <v>629</v>
      </c>
    </row>
    <row r="89" spans="7:24">
      <c r="G89" t="s">
        <v>632</v>
      </c>
      <c r="H89" t="s">
        <v>633</v>
      </c>
      <c r="I89">
        <v>413000000</v>
      </c>
      <c r="N89" t="s">
        <v>621</v>
      </c>
      <c r="O89">
        <v>402391040000</v>
      </c>
      <c r="P89">
        <f t="shared" si="4"/>
        <v>974.31244552058115</v>
      </c>
      <c r="Q89" t="s">
        <v>634</v>
      </c>
      <c r="R89">
        <v>0.41299999999999998</v>
      </c>
      <c r="T89">
        <v>0.40239103999999998</v>
      </c>
      <c r="U89" t="s">
        <v>635</v>
      </c>
      <c r="V89" t="s">
        <v>635</v>
      </c>
      <c r="W89" t="s">
        <v>635</v>
      </c>
      <c r="X89" t="s">
        <v>635</v>
      </c>
    </row>
    <row r="90" spans="7:24">
      <c r="P90">
        <f>AVERAGE(P84:P89,P78:P80)</f>
        <v>1471.5667914825328</v>
      </c>
    </row>
  </sheetData>
  <mergeCells count="1">
    <mergeCell ref="A35:C35"/>
  </mergeCells>
  <hyperlinks>
    <hyperlink ref="A3" r:id="rId1" tooltip="https://ar5iv.org/pdf/2302.13971" display="https://ar5iv.org/pdf/2302.13971" xr:uid="{7638E221-B453-F34F-B202-98BF0ED0DEC9}"/>
    <hyperlink ref="A4" r:id="rId2" tooltip="https://huggingface.co/meta-llama/Llama-2-70b" display="https://huggingface.co/meta-llama/Llama-2-70b" xr:uid="{7D255B7C-17AC-6C4C-B34A-6329002CC4F5}"/>
    <hyperlink ref="A5" r:id="rId3" tooltip="https://arxiv.org/abs/2311.16867" display="https://arxiv.org/abs/2311.16867" xr:uid="{47D9286A-D477-2A4A-912F-BF0E831E56A7}"/>
    <hyperlink ref="A6" r:id="rId4" tooltip="https://github.com/QwenLM/Qwen" display="https://github.com/QwenLM/Qwen" xr:uid="{F3AD7E1E-207E-AB43-AF61-180884AE0A88}"/>
    <hyperlink ref="A7" r:id="rId5" tooltip="https://arxiv.org/html/2407.10671v1" display="https://arxiv.org/html/2407.10671v1" xr:uid="{8A90FAB8-D340-FF4B-9483-7314A4E9744F}"/>
    <hyperlink ref="A8" r:id="rId6" tooltip="meta-llama/Meta-Llama-3-70B" display="https://huggingface.co/meta-llama/Meta-Llama-3-70B?utm_source=chatgpt.com" xr:uid="{EB297CF4-542C-F746-A303-49092EA7E055}"/>
    <hyperlink ref="A9" r:id="rId7" tooltip="Introducing Llama 3.1: Our most capable models to date" display="https://ai.meta.com/blog/meta-llama-3-1/?utm_source=chatgpt.com" xr:uid="{6F9D3F5B-6179-C848-A8D6-F72448430DC7}"/>
    <hyperlink ref="A10" r:id="rId8" tooltip="https://arxiv.org/html/2406.11704v1/" display="https://arxiv.org/html/2406.11704v1/" xr:uid="{8ABAA80C-A6E8-394F-9C4C-12A13374F49D}"/>
    <hyperlink ref="A11" r:id="rId9" tooltip="https://www.alibabacloud.com/help/en/model-studio/what-is-qwen-llm" display="https://www.alibabacloud.com/help/en/model-studio/what-is-qwen-llm" xr:uid="{B31E8AEA-658F-314B-84AE-1FCFE925B53A}"/>
    <hyperlink ref="A20" r:id="rId10" tooltip="https://arxiv.org/html/2505.09388v1" display="https://arxiv.org/html/2505.09388v1" xr:uid="{D1831993-6446-5D49-8284-B14761B2C888}"/>
    <hyperlink ref="A16" r:id="rId11" tooltip="https://www.databricks.com/blog/introducing-dbrx-new-state-art-open-llm" display="https://www.databricks.com/blog/introducing-dbrx-new-state-art-open-llm" xr:uid="{3DA9E615-BD4D-6D45-ABB5-97E1C3B991B4}"/>
    <hyperlink ref="A17" r:id="rId12" tooltip="https://arxiv.org/abs/2405.04434" display="https://arxiv.org/abs/2405.04434" xr:uid="{90766458-8E53-0B4A-904D-15C7A92B1AF7}"/>
    <hyperlink ref="A18" r:id="rId13" tooltip="https://arxiv.org/pdf/2412.19437" display="https://arxiv.org/pdf/2412.19437" xr:uid="{C73E1E46-8792-DD4B-AFA8-D64CCCFC0848}"/>
    <hyperlink ref="A19" r:id="rId14" tooltip="https://medium.com/the-thought-collection/gemma-2-27b-the-ai-already-bettter-than-chat-gpt-4o-f696b28060be" display="https://medium.com/the-thought-collection/gemma-2-27b-the-ai-already-bettter-than-chat-gpt-4o-f696b28060be" xr:uid="{68CE552F-3581-594C-980B-86C0565D11D3}"/>
    <hyperlink ref="Y18" r:id="rId15" tooltip="_x000a_            OpenFold: retraining AlphaFold2 yields new insights into its learning mechanisms and capacity for generalization - PMC_x000a_        " display="https://pmc.ncbi.nlm.nih.gov/articles/PMC11645889/" xr:uid="{A0828184-5B57-E942-BB2B-06B2C587DBE6}"/>
    <hyperlink ref="Y19" r:id="rId16" tooltip="Accurate structure prediction of biomolecular interactions with AlphaFold 3" display="https://static-content.springer.com/esm/art%3A10.1038%2Fs41586-024-07487-w/MediaObjects/41586_2024_7487_MOESM1_ESM.pdf" xr:uid="{EAF95752-CD5A-1946-9E5B-5BA5D231BB27}"/>
    <hyperlink ref="Y24" r:id="rId17" tooltip="An end-to-end framework for the prediction of protein ..." display="https://www.nature.com/articles/s41467-024-51776-x?utm_source=chatgpt.com" xr:uid="{DF21AC7F-1243-FB4E-9E8B-2F08FC89BA94}"/>
    <hyperlink ref="Y25" r:id="rId18" tooltip="https://developer.nvidia.com/blog/optimizing-openfold-training-for-drug-discovery/" display="https://developer.nvidia.com/blog/optimizing-openfold-training-for-drug-discovery/" xr:uid="{F5F673D7-57FF-5B44-94CD-5C4D01E16AAA}"/>
    <hyperlink ref="Y26" r:id="rId19" tooltip="https://developer.nvidia.com/blog/optimizing-openfold-training-for-drug-discovery/" display="https://developer.nvidia.com/blog/optimizing-openfold-training-for-drug-discovery/" xr:uid="{E16BA62A-A5AA-1242-B9AB-D1F96A8ED46A}"/>
    <hyperlink ref="Y27" r:id="rId20" tooltip="https://arxiv.org/pdf/2211.00235" display="https://arxiv.org/pdf/2211.00235" xr:uid="{43BCE89B-12AB-3A4D-A682-2D7D34B29688}"/>
    <hyperlink ref="Y28" r:id="rId21" tooltip="https://arxiv.org/pdf/2211.00235" display="https://arxiv.org/pdf/2211.00235" xr:uid="{28153006-BF11-6247-82E6-E590FA664AA4}"/>
    <hyperlink ref="Y29" r:id="rId22" tooltip="https://pmc.ncbi.nlm.nih.gov/articles/PMC10990103/" display="https://pmc.ncbi.nlm.nih.gov/articles/PMC10990103/" xr:uid="{5465CBAF-AEE7-9746-B497-EC345DB59F1E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8E6-657C-7E47-B9CE-51BEF6531171}">
  <dimension ref="A1:Z12"/>
  <sheetViews>
    <sheetView zoomScale="140" workbookViewId="0">
      <selection activeCell="K12" sqref="K12"/>
    </sheetView>
  </sheetViews>
  <sheetFormatPr baseColWidth="10" defaultRowHeight="16"/>
  <cols>
    <col min="1" max="1" width="19.1640625" bestFit="1" customWidth="1"/>
    <col min="2" max="2" width="21.6640625" customWidth="1"/>
    <col min="3" max="3" width="19" customWidth="1"/>
    <col min="4" max="4" width="15" customWidth="1"/>
    <col min="5" max="5" width="12.5" customWidth="1"/>
    <col min="6" max="6" width="22.5" customWidth="1"/>
    <col min="7" max="7" width="16.6640625" customWidth="1"/>
    <col min="9" max="9" width="13" customWidth="1"/>
  </cols>
  <sheetData>
    <row r="1" spans="1:26" ht="86" customHeight="1">
      <c r="A1" s="40"/>
      <c r="B1" s="41" t="s">
        <v>854</v>
      </c>
      <c r="C1" s="41" t="s">
        <v>885</v>
      </c>
      <c r="D1" s="41" t="s">
        <v>887</v>
      </c>
      <c r="E1" s="41" t="s">
        <v>881</v>
      </c>
      <c r="F1" s="41" t="s">
        <v>869</v>
      </c>
      <c r="G1" s="41" t="s">
        <v>899</v>
      </c>
      <c r="H1" s="41" t="s">
        <v>807</v>
      </c>
      <c r="I1" s="41" t="s">
        <v>518</v>
      </c>
      <c r="J1" s="39" t="s">
        <v>856</v>
      </c>
      <c r="K1" s="39"/>
      <c r="L1" s="39"/>
      <c r="M1" s="39"/>
      <c r="N1" s="39"/>
      <c r="P1" s="39" t="s">
        <v>871</v>
      </c>
      <c r="S1" s="39" t="s">
        <v>859</v>
      </c>
      <c r="T1" s="39"/>
      <c r="W1" s="39" t="s">
        <v>857</v>
      </c>
      <c r="X1" s="39"/>
    </row>
    <row r="2" spans="1:26" ht="17">
      <c r="A2" s="42" t="s">
        <v>530</v>
      </c>
      <c r="B2" s="43" t="s">
        <v>830</v>
      </c>
      <c r="C2" s="43" t="s">
        <v>818</v>
      </c>
      <c r="D2" s="44">
        <v>35.68</v>
      </c>
      <c r="E2" s="43" t="s">
        <v>841</v>
      </c>
      <c r="F2" s="43" t="s">
        <v>823</v>
      </c>
      <c r="G2" s="49">
        <f>MEDIAN('Scaling Laws'!F3:H33)</f>
        <v>0.32391702460801819</v>
      </c>
      <c r="H2" s="45" t="s">
        <v>808</v>
      </c>
      <c r="I2" s="43" t="s">
        <v>814</v>
      </c>
      <c r="J2" s="39" t="s">
        <v>827</v>
      </c>
      <c r="K2" s="39" t="s">
        <v>828</v>
      </c>
      <c r="L2" s="39" t="s">
        <v>829</v>
      </c>
      <c r="M2" s="39" t="s">
        <v>831</v>
      </c>
      <c r="N2" s="39" t="s">
        <v>832</v>
      </c>
      <c r="S2" s="39" t="s">
        <v>824</v>
      </c>
      <c r="T2" s="39" t="s">
        <v>860</v>
      </c>
      <c r="W2" s="39" t="s">
        <v>809</v>
      </c>
      <c r="X2" s="39"/>
    </row>
    <row r="3" spans="1:26" ht="17">
      <c r="A3" s="42" t="s">
        <v>10</v>
      </c>
      <c r="B3" s="43" t="s">
        <v>852</v>
      </c>
      <c r="C3" s="43" t="s">
        <v>819</v>
      </c>
      <c r="D3" s="46">
        <v>974.31244552058115</v>
      </c>
      <c r="E3" s="43" t="s">
        <v>691</v>
      </c>
      <c r="F3" s="43" t="s">
        <v>57</v>
      </c>
      <c r="G3" s="49">
        <f>MEDIAN('Scaling Laws'!F23:H33)</f>
        <v>0.29205421561586209</v>
      </c>
      <c r="H3" s="48" t="s">
        <v>883</v>
      </c>
      <c r="I3" s="43" t="s">
        <v>815</v>
      </c>
      <c r="J3" s="39" t="s">
        <v>847</v>
      </c>
      <c r="K3" s="39" t="s">
        <v>848</v>
      </c>
      <c r="L3" s="39" t="s">
        <v>849</v>
      </c>
      <c r="M3" s="39" t="s">
        <v>850</v>
      </c>
      <c r="N3" s="39" t="s">
        <v>851</v>
      </c>
      <c r="S3" s="39"/>
      <c r="T3" s="39"/>
      <c r="W3" s="39" t="s">
        <v>825</v>
      </c>
      <c r="X3" s="39" t="s">
        <v>884</v>
      </c>
    </row>
    <row r="4" spans="1:26" ht="17">
      <c r="A4" s="42" t="s">
        <v>11</v>
      </c>
      <c r="B4" s="43" t="s">
        <v>833</v>
      </c>
      <c r="C4" s="43" t="s">
        <v>819</v>
      </c>
      <c r="D4" s="44"/>
      <c r="E4" s="43"/>
      <c r="F4" s="43" t="s">
        <v>880</v>
      </c>
      <c r="G4" s="49">
        <f>MEDIAN('Scaling Laws'!F34:H43)</f>
        <v>0.16330965592527624</v>
      </c>
      <c r="H4" s="43"/>
      <c r="I4" s="43" t="s">
        <v>815</v>
      </c>
      <c r="J4" s="39" t="s">
        <v>834</v>
      </c>
      <c r="K4" s="39" t="s">
        <v>835</v>
      </c>
      <c r="L4" s="39" t="s">
        <v>836</v>
      </c>
      <c r="M4" s="39"/>
      <c r="N4" s="39"/>
      <c r="O4" s="39"/>
      <c r="S4" s="39"/>
      <c r="T4" s="39"/>
      <c r="W4" s="39"/>
      <c r="X4" s="39"/>
    </row>
    <row r="5" spans="1:26" ht="35" customHeight="1">
      <c r="A5" s="42" t="s">
        <v>806</v>
      </c>
      <c r="B5" s="38" t="s">
        <v>894</v>
      </c>
      <c r="C5" s="43" t="s">
        <v>818</v>
      </c>
      <c r="D5" s="44">
        <v>32.042823749415618</v>
      </c>
      <c r="E5" s="43" t="s">
        <v>853</v>
      </c>
      <c r="F5" s="43" t="s">
        <v>893</v>
      </c>
      <c r="G5" s="49" t="s">
        <v>901</v>
      </c>
      <c r="H5" s="47" t="s">
        <v>810</v>
      </c>
      <c r="I5" s="43" t="s">
        <v>815</v>
      </c>
      <c r="J5" s="39" t="s">
        <v>838</v>
      </c>
      <c r="O5" s="39"/>
      <c r="P5" t="s">
        <v>870</v>
      </c>
      <c r="S5" s="39"/>
      <c r="T5" s="39"/>
      <c r="W5" s="39" t="s">
        <v>813</v>
      </c>
      <c r="X5" s="39" t="s">
        <v>812</v>
      </c>
      <c r="Y5" s="39" t="s">
        <v>811</v>
      </c>
      <c r="Z5" s="39" t="s">
        <v>837</v>
      </c>
    </row>
    <row r="6" spans="1:26" ht="17">
      <c r="A6" s="42" t="s">
        <v>804</v>
      </c>
      <c r="B6" s="43" t="s">
        <v>839</v>
      </c>
      <c r="C6" s="43" t="s">
        <v>819</v>
      </c>
      <c r="D6" s="44">
        <v>132.30769230769232</v>
      </c>
      <c r="E6" s="43" t="s">
        <v>816</v>
      </c>
      <c r="F6" s="43" t="s">
        <v>893</v>
      </c>
      <c r="G6" s="49">
        <f>MEDIAN('Scaling Laws'!F56:H67)</f>
        <v>9.2179469821814242E-2</v>
      </c>
      <c r="H6" s="47" t="s">
        <v>810</v>
      </c>
      <c r="I6" s="43" t="s">
        <v>815</v>
      </c>
      <c r="J6" s="39" t="s">
        <v>858</v>
      </c>
      <c r="M6" s="39"/>
      <c r="N6" s="39"/>
      <c r="O6" s="39"/>
      <c r="P6" t="s">
        <v>891</v>
      </c>
      <c r="Q6" t="s">
        <v>892</v>
      </c>
      <c r="S6" s="39"/>
      <c r="T6" s="39"/>
      <c r="W6" s="39" t="s">
        <v>812</v>
      </c>
      <c r="X6" s="39" t="s">
        <v>811</v>
      </c>
    </row>
    <row r="7" spans="1:26" ht="17">
      <c r="A7" s="42" t="s">
        <v>805</v>
      </c>
      <c r="B7" s="43" t="s">
        <v>888</v>
      </c>
      <c r="C7" s="43" t="s">
        <v>882</v>
      </c>
      <c r="D7" s="44">
        <v>870.00864304235097</v>
      </c>
      <c r="E7" s="43" t="s">
        <v>889</v>
      </c>
      <c r="F7" s="43" t="s">
        <v>879</v>
      </c>
      <c r="G7" s="49" t="s">
        <v>900</v>
      </c>
      <c r="H7" s="43"/>
      <c r="I7" s="43" t="s">
        <v>817</v>
      </c>
      <c r="J7" s="39" t="s">
        <v>842</v>
      </c>
      <c r="K7" s="39" t="s">
        <v>843</v>
      </c>
      <c r="L7" s="39" t="s">
        <v>844</v>
      </c>
      <c r="M7" s="39" t="s">
        <v>845</v>
      </c>
      <c r="N7" s="39" t="s">
        <v>846</v>
      </c>
      <c r="O7" s="39" t="s">
        <v>826</v>
      </c>
      <c r="S7" s="39" t="s">
        <v>855</v>
      </c>
      <c r="T7" s="39"/>
      <c r="W7" s="39"/>
      <c r="X7" s="39"/>
    </row>
    <row r="8" spans="1:26" ht="17">
      <c r="A8" s="42" t="s">
        <v>132</v>
      </c>
      <c r="B8" s="43" t="s">
        <v>864</v>
      </c>
      <c r="C8" s="43" t="s">
        <v>820</v>
      </c>
      <c r="D8" s="44">
        <v>61.44</v>
      </c>
      <c r="E8" s="43" t="s">
        <v>691</v>
      </c>
      <c r="F8" s="43" t="s">
        <v>890</v>
      </c>
      <c r="G8" s="49">
        <f>MEDIAN('Scaling Laws'!F54:H55)</f>
        <v>0.17418661752795939</v>
      </c>
      <c r="H8" s="43"/>
      <c r="I8" s="43" t="s">
        <v>815</v>
      </c>
      <c r="J8" t="s">
        <v>861</v>
      </c>
      <c r="K8" s="39" t="s">
        <v>862</v>
      </c>
      <c r="L8" s="39" t="s">
        <v>863</v>
      </c>
      <c r="M8" s="39" t="s">
        <v>865</v>
      </c>
      <c r="N8" s="39"/>
      <c r="O8" s="39"/>
      <c r="P8" t="s">
        <v>866</v>
      </c>
      <c r="Q8" t="s">
        <v>867</v>
      </c>
      <c r="R8" t="s">
        <v>868</v>
      </c>
      <c r="S8" s="39" t="s">
        <v>139</v>
      </c>
      <c r="T8" s="39"/>
      <c r="W8" s="39"/>
      <c r="X8" s="39"/>
    </row>
    <row r="9" spans="1:26" ht="54">
      <c r="A9" s="42" t="s">
        <v>113</v>
      </c>
      <c r="B9" s="38" t="s">
        <v>872</v>
      </c>
      <c r="C9" s="43" t="s">
        <v>820</v>
      </c>
      <c r="D9" s="44">
        <v>135.93240935064935</v>
      </c>
      <c r="E9" s="43" t="s">
        <v>886</v>
      </c>
      <c r="F9" s="38" t="s">
        <v>895</v>
      </c>
      <c r="G9" s="49">
        <f>MEDIAN('Scaling Laws'!F47:H53)</f>
        <v>0.30879973517252812</v>
      </c>
      <c r="H9" s="43" t="s">
        <v>840</v>
      </c>
      <c r="I9" s="43" t="s">
        <v>817</v>
      </c>
      <c r="J9" s="39" t="s">
        <v>873</v>
      </c>
      <c r="K9" s="39" t="s">
        <v>876</v>
      </c>
      <c r="L9" s="39" t="s">
        <v>877</v>
      </c>
      <c r="M9" s="39" t="s">
        <v>875</v>
      </c>
      <c r="N9" s="39" t="s">
        <v>875</v>
      </c>
      <c r="O9" s="39" t="s">
        <v>874</v>
      </c>
      <c r="P9" s="39" t="s">
        <v>878</v>
      </c>
      <c r="Q9" s="39" t="s">
        <v>870</v>
      </c>
      <c r="R9" s="39"/>
      <c r="S9" s="39"/>
    </row>
    <row r="10" spans="1:26" ht="17">
      <c r="J10" s="39"/>
      <c r="K10" s="39"/>
      <c r="L10" s="39"/>
      <c r="M10" s="39"/>
      <c r="N10" s="39"/>
      <c r="O10" s="39"/>
      <c r="P10" s="39"/>
      <c r="Q10" s="39"/>
      <c r="R10" s="39"/>
      <c r="S10" s="39"/>
    </row>
    <row r="11" spans="1:26" ht="17"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 spans="1:26" ht="17">
      <c r="J12" s="39"/>
      <c r="K12" s="39"/>
      <c r="L12" s="39"/>
      <c r="M12" s="39"/>
      <c r="N12" s="39"/>
      <c r="O12" s="39"/>
      <c r="P12" s="39"/>
      <c r="Q12" s="39"/>
      <c r="R12" s="39"/>
      <c r="S12" s="39"/>
    </row>
  </sheetData>
  <pageMargins left="0.7" right="0.7" top="0.75" bottom="0.75" header="0.3" footer="0.3"/>
  <ignoredErrors>
    <ignoredError sqref="H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Scaling Laws</vt:lpstr>
      <vt:lpstr>Tokens to Param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Morehead</dc:creator>
  <cp:lastModifiedBy>Mackenzie Morehead</cp:lastModifiedBy>
  <dcterms:created xsi:type="dcterms:W3CDTF">2026-01-28T18:51:03Z</dcterms:created>
  <dcterms:modified xsi:type="dcterms:W3CDTF">2026-03-05T14:09:17Z</dcterms:modified>
</cp:coreProperties>
</file>